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T:\Sharing\Leo Wong\Docpal Demo\AP\V2\Sample Data\"/>
    </mc:Choice>
  </mc:AlternateContent>
  <xr:revisionPtr revIDLastSave="0" documentId="13_ncr:1_{73C062F1-CFDC-4329-A44F-FEBA2387B6A1}" xr6:coauthVersionLast="36" xr6:coauthVersionMax="36" xr10:uidLastSave="{00000000-0000-0000-0000-000000000000}"/>
  <bookViews>
    <workbookView xWindow="0" yWindow="0" windowWidth="28800" windowHeight="12090" activeTab="2" xr2:uid="{00000000-000D-0000-FFFF-FFFF00000000}"/>
    <workbookView xWindow="0" yWindow="0" windowWidth="28800" windowHeight="12090" xr2:uid="{B739613A-32FC-4D01-94BF-8164AED41C11}"/>
  </bookViews>
  <sheets>
    <sheet name="Sales" sheetId="2" r:id="rId1"/>
    <sheet name="Contact" sheetId="4" r:id="rId2"/>
    <sheet name="Company" sheetId="1" r:id="rId3"/>
    <sheet name="Case" sheetId="3" r:id="rId4"/>
    <sheet name="Quotation" sheetId="5" r:id="rId5"/>
    <sheet name="Quotation Lines" sheetId="6" r:id="rId6"/>
    <sheet name="Contract" sheetId="7" r:id="rId7"/>
    <sheet name="Contract Lines" sheetId="8" r:id="rId8"/>
  </sheets>
  <definedNames>
    <definedName name="_xlnm._FilterDatabase" localSheetId="3" hidden="1">Case!$A$1:$I$98</definedName>
    <definedName name="_xlnm._FilterDatabase" localSheetId="2" hidden="1">Company!$A$1:$F$49</definedName>
    <definedName name="_xlnm._FilterDatabase" localSheetId="1" hidden="1">Contact!$A$1:$H$82</definedName>
    <definedName name="_xlnm._FilterDatabase" localSheetId="4" hidden="1">Quotation!$A$1:$D$58</definedName>
    <definedName name="_xlnm._FilterDatabase" localSheetId="5" hidden="1">'Quotation Lines'!$A$1:$G$122</definedName>
  </definedNames>
  <calcPr calcId="179021"/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3" i="3"/>
  <c r="G70" i="6"/>
  <c r="G68" i="6"/>
  <c r="G66" i="6"/>
  <c r="G62" i="6"/>
  <c r="F2" i="3"/>
</calcChain>
</file>

<file path=xl/sharedStrings.xml><?xml version="1.0" encoding="utf-8"?>
<sst xmlns="http://schemas.openxmlformats.org/spreadsheetml/2006/main" count="2569" uniqueCount="1037">
  <si>
    <t>No.</t>
  </si>
  <si>
    <t>Salesperson Name</t>
  </si>
  <si>
    <t>name</t>
  </si>
  <si>
    <t>role</t>
  </si>
  <si>
    <t>id</t>
  </si>
  <si>
    <t>Chan Wai Ming</t>
  </si>
  <si>
    <t>Michael Chan</t>
  </si>
  <si>
    <t>Sales Representative</t>
  </si>
  <si>
    <t>michaelchan</t>
  </si>
  <si>
    <t>Wong Ka Yan</t>
  </si>
  <si>
    <t>Karen Wong</t>
  </si>
  <si>
    <t>karenwong</t>
  </si>
  <si>
    <t>Lee Mei Po</t>
  </si>
  <si>
    <t>Maggie Lee</t>
  </si>
  <si>
    <t>maggielee</t>
  </si>
  <si>
    <t>Tam Suk Fun</t>
  </si>
  <si>
    <t>Sophie Tam</t>
  </si>
  <si>
    <t>sophietam</t>
  </si>
  <si>
    <t>Yip Chi Ho</t>
  </si>
  <si>
    <t>Tommy Yip</t>
  </si>
  <si>
    <t>tommyyip</t>
  </si>
  <si>
    <t>Leung Pui Yee</t>
  </si>
  <si>
    <t>Peggy Leung</t>
  </si>
  <si>
    <t>peggyleung</t>
  </si>
  <si>
    <t>Mok Hoi Yan</t>
  </si>
  <si>
    <t>Helen Mok</t>
  </si>
  <si>
    <t>helenmok</t>
  </si>
  <si>
    <t>Hui Wing Tung</t>
  </si>
  <si>
    <t>Wendy Hui</t>
  </si>
  <si>
    <t>wendyhui</t>
  </si>
  <si>
    <t>Chow Lap Kei</t>
  </si>
  <si>
    <t>Kevin Chow</t>
  </si>
  <si>
    <t>kevinchow</t>
  </si>
  <si>
    <t>Fung Siu Mei</t>
  </si>
  <si>
    <t>Fiona Fung</t>
  </si>
  <si>
    <t>fionafung</t>
  </si>
  <si>
    <t>Sales Manager</t>
  </si>
  <si>
    <t>Amy Poon</t>
  </si>
  <si>
    <t>amypoon</t>
  </si>
  <si>
    <t>General Manager</t>
  </si>
  <si>
    <t>Peter Chen</t>
  </si>
  <si>
    <t>Sales Director</t>
  </si>
  <si>
    <t>peterchen</t>
  </si>
  <si>
    <t>Company ID</t>
  </si>
  <si>
    <t>Company Name</t>
  </si>
  <si>
    <t>Contact Person</t>
  </si>
  <si>
    <t>Department</t>
  </si>
  <si>
    <t>Job Title</t>
  </si>
  <si>
    <t>Contact Number</t>
  </si>
  <si>
    <t>Mobile Number</t>
  </si>
  <si>
    <t>Email</t>
  </si>
  <si>
    <t>CP000001</t>
  </si>
  <si>
    <t>Apex Horizon Holdings Limited</t>
  </si>
  <si>
    <t>Raymond Cheung</t>
  </si>
  <si>
    <t>Finance</t>
  </si>
  <si>
    <t>Chief Financial Officer</t>
  </si>
  <si>
    <t>2801 2345</t>
  </si>
  <si>
    <t>9123 5678</t>
  </si>
  <si>
    <t>raymond.cheung@apexhorizon.hk</t>
  </si>
  <si>
    <t>Vivian Lau</t>
  </si>
  <si>
    <t>Operations</t>
  </si>
  <si>
    <t>Operations Director</t>
  </si>
  <si>
    <t>2801 2346</t>
  </si>
  <si>
    <t>9123 5679</t>
  </si>
  <si>
    <t>vivian.lau@apexhorizon.hk</t>
  </si>
  <si>
    <t>CP000002</t>
  </si>
  <si>
    <t>Celestial Dragon Enterprises Limited</t>
  </si>
  <si>
    <t>Kenneth Wong</t>
  </si>
  <si>
    <t>Sales</t>
  </si>
  <si>
    <t>2523 4455</t>
  </si>
  <si>
    <t>6543 2109</t>
  </si>
  <si>
    <t>kenneth.wong@celestialdragon.hk</t>
  </si>
  <si>
    <t>Sophia Ng</t>
  </si>
  <si>
    <t>Marketing</t>
  </si>
  <si>
    <t>Marketing Coordinator</t>
  </si>
  <si>
    <t>2523 4456</t>
  </si>
  <si>
    <t>6543 2110</t>
  </si>
  <si>
    <t>sophia.ng@celestialdragon.hk</t>
  </si>
  <si>
    <t>Henry Tam</t>
  </si>
  <si>
    <t>Procurement</t>
  </si>
  <si>
    <t>Procurement Officer</t>
  </si>
  <si>
    <t>2523 4457</t>
  </si>
  <si>
    <t>6543 2111</t>
  </si>
  <si>
    <t>henry.tam@celestialdragon.hk</t>
  </si>
  <si>
    <t>CP000003</t>
  </si>
  <si>
    <t>Victoria Peak Capital Limited</t>
  </si>
  <si>
    <t>Elizabeth Ho</t>
  </si>
  <si>
    <t>2877 1122</t>
  </si>
  <si>
    <t>9876 5432</t>
  </si>
  <si>
    <t>elizabeth.ho@victoriapeak.hk</t>
  </si>
  <si>
    <t>Marcus Yip</t>
  </si>
  <si>
    <t>Legal</t>
  </si>
  <si>
    <t>General Counsel</t>
  </si>
  <si>
    <t>2877 1123</t>
  </si>
  <si>
    <t>9876 5433</t>
  </si>
  <si>
    <t>marcus.yip@victoriapeak.hk</t>
  </si>
  <si>
    <t>CP000004</t>
  </si>
  <si>
    <t>Harbour Bridge Innovations Limited</t>
  </si>
  <si>
    <t>Olivia Leung</t>
  </si>
  <si>
    <t>R&amp;D</t>
  </si>
  <si>
    <t>Head of Innovation</t>
  </si>
  <si>
    <t>2765 8899</t>
  </si>
  <si>
    <t>5432 1098</t>
  </si>
  <si>
    <t>olivia.leung@harbourbridge.hk</t>
  </si>
  <si>
    <t>Derek Mok</t>
  </si>
  <si>
    <t>Engineering</t>
  </si>
  <si>
    <t>Senior Engineer</t>
  </si>
  <si>
    <t>2765 8900</t>
  </si>
  <si>
    <t>5432 1099</t>
  </si>
  <si>
    <t>derek.mok@harbourbridge.hk</t>
  </si>
  <si>
    <t>CP000005</t>
  </si>
  <si>
    <t>Kowloon Star Ventures Limited</t>
  </si>
  <si>
    <t>Patricia Hui</t>
  </si>
  <si>
    <t>Venture Capital</t>
  </si>
  <si>
    <t>Partner</t>
  </si>
  <si>
    <t>3118 2233</t>
  </si>
  <si>
    <t>6789 0123</t>
  </si>
  <si>
    <t>patricia.hui@kowloonstar.hk</t>
  </si>
  <si>
    <t>Victor Chow</t>
  </si>
  <si>
    <t>Administration</t>
  </si>
  <si>
    <t>Operations Manager</t>
  </si>
  <si>
    <t>3118 2234</t>
  </si>
  <si>
    <t>6789 0124</t>
  </si>
  <si>
    <t>victor.chow@kowloonstar.hk</t>
  </si>
  <si>
    <t>Grace Sze</t>
  </si>
  <si>
    <t>Financial Analyst</t>
  </si>
  <si>
    <t>3118 2235</t>
  </si>
  <si>
    <t>6789 0125</t>
  </si>
  <si>
    <t>grace.sze@kowloonstar.hk</t>
  </si>
  <si>
    <t>CP000006</t>
  </si>
  <si>
    <t>Jade Lotus Trading Company Limited</t>
  </si>
  <si>
    <t>Benjamin Fung</t>
  </si>
  <si>
    <t>Trading</t>
  </si>
  <si>
    <t>Trading Director</t>
  </si>
  <si>
    <t>2388 9900</t>
  </si>
  <si>
    <t>9876 1234</t>
  </si>
  <si>
    <t>benjamin.fung@jadelotus.hk</t>
  </si>
  <si>
    <t>Isabella Ho</t>
  </si>
  <si>
    <t>Logistics</t>
  </si>
  <si>
    <t>Logistics Supervisor</t>
  </si>
  <si>
    <t>2388 9901</t>
  </si>
  <si>
    <t>9876 1235</t>
  </si>
  <si>
    <t>isabella.ho@jadelotus.hk</t>
  </si>
  <si>
    <t>CP000007</t>
  </si>
  <si>
    <t>Phoenix Bay Investments Limited</t>
  </si>
  <si>
    <t>Jonathan Lam</t>
  </si>
  <si>
    <t>2721 3344</t>
  </si>
  <si>
    <t>6543 9876</t>
  </si>
  <si>
    <t>jonathan.lam@phoenixbay.hk</t>
  </si>
  <si>
    <t>Rachel Wong</t>
  </si>
  <si>
    <t>Compliance</t>
  </si>
  <si>
    <t>Compliance Officer</t>
  </si>
  <si>
    <t>2721 3345</t>
  </si>
  <si>
    <t>6543 9877</t>
  </si>
  <si>
    <t>rachel.wong@phoenixbay.hk</t>
  </si>
  <si>
    <t>Kevin Lee</t>
  </si>
  <si>
    <t>Research</t>
  </si>
  <si>
    <t>Market Analyst</t>
  </si>
  <si>
    <t>2721 3346</t>
  </si>
  <si>
    <t>6543 9878</t>
  </si>
  <si>
    <t>kevin.lee@phoenixbay.hk</t>
  </si>
  <si>
    <t>CP000008</t>
  </si>
  <si>
    <t>Silk Road Global Limited</t>
  </si>
  <si>
    <t>Amanda Tse</t>
  </si>
  <si>
    <t>International Trade</t>
  </si>
  <si>
    <t>Export Manager</t>
  </si>
  <si>
    <t>2901 5566</t>
  </si>
  <si>
    <t>9123 4567</t>
  </si>
  <si>
    <t>amanda.tse@silkroadglobal.hk</t>
  </si>
  <si>
    <t>Edward Poon</t>
  </si>
  <si>
    <t>2901 5567</t>
  </si>
  <si>
    <t>9123 4568</t>
  </si>
  <si>
    <t>edward.poon@silkroadglobal.hk</t>
  </si>
  <si>
    <t>CP000009</t>
  </si>
  <si>
    <t>Lantern Gate Technologies Limited</t>
  </si>
  <si>
    <t>Fiona Chan</t>
  </si>
  <si>
    <t>IT</t>
  </si>
  <si>
    <t>CTO</t>
  </si>
  <si>
    <t>2577 8899</t>
  </si>
  <si>
    <t>fiona.chan@lanterngate.hk</t>
  </si>
  <si>
    <t>Gordon Ng</t>
  </si>
  <si>
    <t>Development</t>
  </si>
  <si>
    <t>Lead Developer</t>
  </si>
  <si>
    <t>2577 8900</t>
  </si>
  <si>
    <t>gordon.ng@lanterngate.hk</t>
  </si>
  <si>
    <t>CP000010</t>
  </si>
  <si>
    <t>Golden Harbour Finance Limited</t>
  </si>
  <si>
    <t>Helena Yip</t>
  </si>
  <si>
    <t>2882 1122</t>
  </si>
  <si>
    <t>helena.yip@goldenharbour.hk</t>
  </si>
  <si>
    <t>Ian Leung</t>
  </si>
  <si>
    <t>Risk</t>
  </si>
  <si>
    <t>Risk Analyst</t>
  </si>
  <si>
    <t>2882 1123</t>
  </si>
  <si>
    <t>ian.leung@goldenharbour.hk</t>
  </si>
  <si>
    <t>Julia Mok</t>
  </si>
  <si>
    <t>Treasury</t>
  </si>
  <si>
    <t>Treasury Officer</t>
  </si>
  <si>
    <t>2882 1124</t>
  </si>
  <si>
    <t>julia.mok@goldenharbour.hk</t>
  </si>
  <si>
    <t>CP000011</t>
  </si>
  <si>
    <t>Emerald Isle Properties Limited</t>
  </si>
  <si>
    <t>Keith Hui</t>
  </si>
  <si>
    <t>Real Estate</t>
  </si>
  <si>
    <t>Property Director</t>
  </si>
  <si>
    <t>2544 6677</t>
  </si>
  <si>
    <t>keith.hui@emeraldisle.hk</t>
  </si>
  <si>
    <t>Laura Chow</t>
  </si>
  <si>
    <t>2544 6678</t>
  </si>
  <si>
    <t>laura.chow@emeraldisle.hk</t>
  </si>
  <si>
    <t>CP000012</t>
  </si>
  <si>
    <t>Dragonfly Media Group Limited</t>
  </si>
  <si>
    <t>Martin Sze</t>
  </si>
  <si>
    <t>Media</t>
  </si>
  <si>
    <t>Executive Producer</t>
  </si>
  <si>
    <t>2633 4455</t>
  </si>
  <si>
    <t>martin.sze@dragonflymedia.hk</t>
  </si>
  <si>
    <t>Natalie Tam</t>
  </si>
  <si>
    <t>2633 4456</t>
  </si>
  <si>
    <t>natalie.tam@dragonflymedia.hk</t>
  </si>
  <si>
    <t>CP000013</t>
  </si>
  <si>
    <t>Pacific Rim Logistics Limited</t>
  </si>
  <si>
    <t>Oscar Chan</t>
  </si>
  <si>
    <t>2992 7788</t>
  </si>
  <si>
    <t>oscar.chan@pacificrim.hk</t>
  </si>
  <si>
    <t>Paula Wong</t>
  </si>
  <si>
    <t>Customer Service</t>
  </si>
  <si>
    <t>Service Manager</t>
  </si>
  <si>
    <t>2992 7789</t>
  </si>
  <si>
    <t>paula.wong@pacificrim.hk</t>
  </si>
  <si>
    <t>Quentin Lee</t>
  </si>
  <si>
    <t>Warehouse</t>
  </si>
  <si>
    <t>Warehouse Supervisor</t>
  </si>
  <si>
    <t>2992 7790</t>
  </si>
  <si>
    <t>9123 4569</t>
  </si>
  <si>
    <t>quentin.lee@pacificrim.hk</t>
  </si>
  <si>
    <t>CP000014</t>
  </si>
  <si>
    <t>Summit Crest Consulting Limited</t>
  </si>
  <si>
    <t>Rebecca Ho</t>
  </si>
  <si>
    <t>Consulting</t>
  </si>
  <si>
    <t>Senior Consultant</t>
  </si>
  <si>
    <t>2810 9900</t>
  </si>
  <si>
    <t>rebecca.ho@summitcrest.hk</t>
  </si>
  <si>
    <t>Simon Fung</t>
  </si>
  <si>
    <t>2810 9901</t>
  </si>
  <si>
    <t>simon.fung@summitcrest.hk</t>
  </si>
  <si>
    <t>CP000015</t>
  </si>
  <si>
    <t>Orchid Bloom International Limited</t>
  </si>
  <si>
    <t>Teresa Lam</t>
  </si>
  <si>
    <t>2488 2233</t>
  </si>
  <si>
    <t>teresa.lam@orchidbloom.hk</t>
  </si>
  <si>
    <t>CP000016</t>
  </si>
  <si>
    <t>Typhoon Shield Security Limited</t>
  </si>
  <si>
    <t>Ulysses Ng</t>
  </si>
  <si>
    <t>Security</t>
  </si>
  <si>
    <t>Security Director</t>
  </si>
  <si>
    <t>2366 5566</t>
  </si>
  <si>
    <t>ulysses.ng@typhoonshield.hk</t>
  </si>
  <si>
    <t>Vanessa Tse</t>
  </si>
  <si>
    <t>2366 5567</t>
  </si>
  <si>
    <t>vanessa.tse@typhoonshield.hk</t>
  </si>
  <si>
    <t>Walter Poon</t>
  </si>
  <si>
    <t>Technical</t>
  </si>
  <si>
    <t>Systems Engineer</t>
  </si>
  <si>
    <t>2366 5568</t>
  </si>
  <si>
    <t>9876 1236</t>
  </si>
  <si>
    <t>walter.poon@typhoonshield.hk</t>
  </si>
  <si>
    <t>CP000017</t>
  </si>
  <si>
    <t>Pearl River Exports Limited</t>
  </si>
  <si>
    <t>Xavier Chan</t>
  </si>
  <si>
    <t>Exports</t>
  </si>
  <si>
    <t>2777 8899</t>
  </si>
  <si>
    <t>xavier.chan@pearlriver.hk</t>
  </si>
  <si>
    <t>Yvonne Wong</t>
  </si>
  <si>
    <t>2777 8900</t>
  </si>
  <si>
    <t>yvonne.wong@pearlriver.hk</t>
  </si>
  <si>
    <t>CP000018</t>
  </si>
  <si>
    <t>Bamboo Grove Developments Limited</t>
  </si>
  <si>
    <t>Zachary Lee</t>
  </si>
  <si>
    <t>2555 1122</t>
  </si>
  <si>
    <t>zachary.lee@bamboogrove.hk</t>
  </si>
  <si>
    <t>Alice Ho</t>
  </si>
  <si>
    <t>Architecture</t>
  </si>
  <si>
    <t>Chief Architect</t>
  </si>
  <si>
    <t>2555 1123</t>
  </si>
  <si>
    <t>alice.ho@bamboogrove.hk</t>
  </si>
  <si>
    <t>CP000019</t>
  </si>
  <si>
    <t>Lion Rock Energy Limited</t>
  </si>
  <si>
    <t>Brian Yip</t>
  </si>
  <si>
    <t>Energy</t>
  </si>
  <si>
    <t>Energy Trader</t>
  </si>
  <si>
    <t>2666 3344</t>
  </si>
  <si>
    <t>brian.yip@lionrockenergy.hk</t>
  </si>
  <si>
    <t>Clara Leung</t>
  </si>
  <si>
    <t>Sustainability</t>
  </si>
  <si>
    <t>Sustainability Lead</t>
  </si>
  <si>
    <t>2666 3345</t>
  </si>
  <si>
    <t>clara.leung@lionrockenergy.hk</t>
  </si>
  <si>
    <t>David Mok</t>
  </si>
  <si>
    <t>2666 3346</t>
  </si>
  <si>
    <t>5432 1100</t>
  </si>
  <si>
    <t>david.mok@lionrockenergy.hk</t>
  </si>
  <si>
    <t>CP000020</t>
  </si>
  <si>
    <t>Fragrant Harbour Foods Limited</t>
  </si>
  <si>
    <t>Eva Hui</t>
  </si>
  <si>
    <t>Food &amp; Beverage</t>
  </si>
  <si>
    <t>Quality Assurance Mgr</t>
  </si>
  <si>
    <t>2444 6677</t>
  </si>
  <si>
    <t>eva.hui@fragrantfoods.hk</t>
  </si>
  <si>
    <t>Frank Chow</t>
  </si>
  <si>
    <t>Procurement Head</t>
  </si>
  <si>
    <t>2444 6678</t>
  </si>
  <si>
    <t>frank.chow@fragrantfoods.hk</t>
  </si>
  <si>
    <t>CP000021</t>
  </si>
  <si>
    <t>Skyline Tower Construction Limited</t>
  </si>
  <si>
    <t>2333 4455</t>
  </si>
  <si>
    <t>grace.sze@skylinetower.hk</t>
  </si>
  <si>
    <t>Harold Tam</t>
  </si>
  <si>
    <t>Safety</t>
  </si>
  <si>
    <t>Safety Officer</t>
  </si>
  <si>
    <t>2333 4456</t>
  </si>
  <si>
    <t>harold.tam@skylinetower.hk</t>
  </si>
  <si>
    <t>CP000022</t>
  </si>
  <si>
    <t>Red Sail Shipping Limited</t>
  </si>
  <si>
    <t>Iris Chan</t>
  </si>
  <si>
    <t>2111 7788</t>
  </si>
  <si>
    <t>iris.chan@redsail.hk</t>
  </si>
  <si>
    <t>CP000023</t>
  </si>
  <si>
    <t>Imperial Crown Hospitality Limited</t>
  </si>
  <si>
    <t>Jack Wong</t>
  </si>
  <si>
    <t>Hospitality</t>
  </si>
  <si>
    <t>2999 9900</t>
  </si>
  <si>
    <t>jack.wong@imperialcrown.hk</t>
  </si>
  <si>
    <t>Karen Lee</t>
  </si>
  <si>
    <t>2999 9901</t>
  </si>
  <si>
    <t>karen.lee@imperialcrown.hk</t>
  </si>
  <si>
    <t>CP000024</t>
  </si>
  <si>
    <t>Harmony Bay Pharmaceuticals Limited</t>
  </si>
  <si>
    <t>Leonard Ho</t>
  </si>
  <si>
    <t>Pharmaceuticals</t>
  </si>
  <si>
    <t>R&amp;D Director</t>
  </si>
  <si>
    <t>2778 2233</t>
  </si>
  <si>
    <t>leonard.ho@harmonybay.hk</t>
  </si>
  <si>
    <t>Michelle Fung</t>
  </si>
  <si>
    <t>2778 2234</t>
  </si>
  <si>
    <t>michelle.fung@harmonybay.hk</t>
  </si>
  <si>
    <t>CP000025</t>
  </si>
  <si>
    <t>Fortune Wave Insurance Limited</t>
  </si>
  <si>
    <t>Nathan Lam</t>
  </si>
  <si>
    <t>2667 5566</t>
  </si>
  <si>
    <t>nathan.lam@fortunewave.hk</t>
  </si>
  <si>
    <t>CP000026</t>
  </si>
  <si>
    <t>Nebula Cloud Solutions Limited</t>
  </si>
  <si>
    <t>Olivia Ng</t>
  </si>
  <si>
    <t>Cloud Services</t>
  </si>
  <si>
    <t>Solutions Architect</t>
  </si>
  <si>
    <t>2556 8899</t>
  </si>
  <si>
    <t>olivia.ng@nebulacloud.hk</t>
  </si>
  <si>
    <t>Peter Tse</t>
  </si>
  <si>
    <t>2556 8900</t>
  </si>
  <si>
    <t>peter.tse@nebulacloud.hk</t>
  </si>
  <si>
    <t>CP000027</t>
  </si>
  <si>
    <t>Crimson Phoenix Retail Limited</t>
  </si>
  <si>
    <t>Quinn Poon</t>
  </si>
  <si>
    <t>Retail</t>
  </si>
  <si>
    <t>Merchandising Manager</t>
  </si>
  <si>
    <t>2445 1122</t>
  </si>
  <si>
    <t>quinn.poon@crimsonphoenix.hk</t>
  </si>
  <si>
    <t>Rita Chan</t>
  </si>
  <si>
    <t>2445 1123</t>
  </si>
  <si>
    <t>rita.chan@crimsonphoenix.hk</t>
  </si>
  <si>
    <t>CP000028</t>
  </si>
  <si>
    <t>Azure Wave Marine Limited</t>
  </si>
  <si>
    <t>Steven Wong</t>
  </si>
  <si>
    <t>2334 3344</t>
  </si>
  <si>
    <t>steven.wong@azurewave.hk</t>
  </si>
  <si>
    <t>CP000029</t>
  </si>
  <si>
    <t>Evergreen Peak Agriculture Limited</t>
  </si>
  <si>
    <t>Tina Lee</t>
  </si>
  <si>
    <t>2223 6677</t>
  </si>
  <si>
    <t>tina.lee@evergreenpeak.hk</t>
  </si>
  <si>
    <t>Umar Ho</t>
  </si>
  <si>
    <t>Farm Operations Manager</t>
  </si>
  <si>
    <t>2223 6678</t>
  </si>
  <si>
    <t>umar.ho@evergreenpeak.hk</t>
  </si>
  <si>
    <t>CP000030</t>
  </si>
  <si>
    <t>Sovereign Gate Legal Services Limited</t>
  </si>
  <si>
    <t>Victoria Yip</t>
  </si>
  <si>
    <t>Senior Partner</t>
  </si>
  <si>
    <t>2112 4455</t>
  </si>
  <si>
    <t>victoria.yip@sovereigngate.hk</t>
  </si>
  <si>
    <t>William Leung</t>
  </si>
  <si>
    <t>2112 4456</t>
  </si>
  <si>
    <t>william.leung@sovereigngate.hk</t>
  </si>
  <si>
    <t>CP000031</t>
  </si>
  <si>
    <t>Radiant Star Entertainment Limited</t>
  </si>
  <si>
    <t>Xavier Mok</t>
  </si>
  <si>
    <t>2998 7788</t>
  </si>
  <si>
    <t>xavier.mok@radiantstar.hk</t>
  </si>
  <si>
    <t>CP000032</t>
  </si>
  <si>
    <t>Thunderbolt Engineering Limited</t>
  </si>
  <si>
    <t>Yvonne Hui</t>
  </si>
  <si>
    <t>2887 9900</t>
  </si>
  <si>
    <t>yvonne.hui@thunderbolt.hk</t>
  </si>
  <si>
    <t>CP000033</t>
  </si>
  <si>
    <t>Serenity Lake Wellness Limited</t>
  </si>
  <si>
    <t>Zachary Chow</t>
  </si>
  <si>
    <t>2776 2233</t>
  </si>
  <si>
    <t>zachary.chow@serenitylake.hk</t>
  </si>
  <si>
    <t>CP000034</t>
  </si>
  <si>
    <t>Vanguard Hill Manufacturing Limited</t>
  </si>
  <si>
    <t>Amanda Sze</t>
  </si>
  <si>
    <t>2665 5566</t>
  </si>
  <si>
    <t>amanda.sze@vanguardhill.hk</t>
  </si>
  <si>
    <t>CP000035</t>
  </si>
  <si>
    <t>Eclipse Moon Design Limited</t>
  </si>
  <si>
    <t>Brian Tam</t>
  </si>
  <si>
    <t>Project Manager</t>
  </si>
  <si>
    <t>2554 8899</t>
  </si>
  <si>
    <t>brian.tam@eclipsemoon.hk</t>
  </si>
  <si>
    <t>CP000036</t>
  </si>
  <si>
    <t>Regal Harbour Tourism Limited</t>
  </si>
  <si>
    <t>Clara Chan</t>
  </si>
  <si>
    <t>2443 1122</t>
  </si>
  <si>
    <t>clara.chan@regalharbour.hk</t>
  </si>
  <si>
    <t>CP000037</t>
  </si>
  <si>
    <t>Quantum Leap Analytics Limited</t>
  </si>
  <si>
    <t>David Wong</t>
  </si>
  <si>
    <t>2332 3344</t>
  </si>
  <si>
    <t>david.wong@quantumleap.hk</t>
  </si>
  <si>
    <t>CP000038</t>
  </si>
  <si>
    <t>Mystic Lantern Imports Limited</t>
  </si>
  <si>
    <t>Eva Lee</t>
  </si>
  <si>
    <t>Imports</t>
  </si>
  <si>
    <t>Import Coordinator</t>
  </si>
  <si>
    <t>2221 6677</t>
  </si>
  <si>
    <t>eva.lee@mysticlantern.hk</t>
  </si>
  <si>
    <t>CP000039</t>
  </si>
  <si>
    <t>Titan Forge Industries Limited</t>
  </si>
  <si>
    <t>Frank Ho</t>
  </si>
  <si>
    <t>2110 4455</t>
  </si>
  <si>
    <t>frank.ho@titanforge.hk</t>
  </si>
  <si>
    <t>CP000040</t>
  </si>
  <si>
    <t>Velvet Sky Aviation Limited</t>
  </si>
  <si>
    <t>Grace Yip</t>
  </si>
  <si>
    <t>2997 7788</t>
  </si>
  <si>
    <t>grace.yip@velvetsky.hk</t>
  </si>
  <si>
    <t>CP000041</t>
  </si>
  <si>
    <t>Opal Bridge Education Limited</t>
  </si>
  <si>
    <t>Harold Leung</t>
  </si>
  <si>
    <t>2886 9900</t>
  </si>
  <si>
    <t>harold.leung@opalbridge.hk</t>
  </si>
  <si>
    <t>CP000042</t>
  </si>
  <si>
    <t>Sterling Wave Banking Limited</t>
  </si>
  <si>
    <t>Iris Mok</t>
  </si>
  <si>
    <t>2775 2233</t>
  </si>
  <si>
    <t>iris.mok@sterlingwave.hk</t>
  </si>
  <si>
    <t>CP000043</t>
  </si>
  <si>
    <t>Aurora Borealis Research Limited</t>
  </si>
  <si>
    <t>Jack Hui</t>
  </si>
  <si>
    <t>2664 5566</t>
  </si>
  <si>
    <t>jack.hui@auroraborealis.hk</t>
  </si>
  <si>
    <t>CP000044</t>
  </si>
  <si>
    <t>Crimson Tide Sports Limited</t>
  </si>
  <si>
    <t>Karen Chow</t>
  </si>
  <si>
    <t>2553 8899</t>
  </si>
  <si>
    <t>karen.chow@crimsontide.hk</t>
  </si>
  <si>
    <t>CP000045</t>
  </si>
  <si>
    <t>Zenith Peak Telecommunications Limited</t>
  </si>
  <si>
    <t>Leonard Sze</t>
  </si>
  <si>
    <t>2442 1122</t>
  </si>
  <si>
    <t>leonard.sze@zenithpeak.hk</t>
  </si>
  <si>
    <t>CP000046</t>
  </si>
  <si>
    <t>Ivory Tower Publishing Limited</t>
  </si>
  <si>
    <t>Michelle Tam</t>
  </si>
  <si>
    <t>2331 3344</t>
  </si>
  <si>
    <t>michelle.tam@ivorytower.hk</t>
  </si>
  <si>
    <t>CP000047</t>
  </si>
  <si>
    <t>Sapphire Sea Fisheries Limited</t>
  </si>
  <si>
    <t>Nathan Chan</t>
  </si>
  <si>
    <t>2220 6677</t>
  </si>
  <si>
    <t>nathan.chan@sapphiresea.hk</t>
  </si>
  <si>
    <t>CP000048</t>
  </si>
  <si>
    <t>Eternal Flame Charity Foundation Limited</t>
  </si>
  <si>
    <t>Olivia Wong</t>
  </si>
  <si>
    <t>olivia.wong@eternalflame.hk</t>
  </si>
  <si>
    <t>Salesperson</t>
  </si>
  <si>
    <t>Address</t>
  </si>
  <si>
    <t>Payment Terms</t>
  </si>
  <si>
    <t>Currency</t>
  </si>
  <si>
    <t>Unit 1201, 12/F, Tower 2, Admiralty Centre, 18 Harcourt Road, Admiralty, Hong Kong</t>
  </si>
  <si>
    <t>30 days</t>
  </si>
  <si>
    <t>HKD</t>
  </si>
  <si>
    <t>Room 803, 8/F, Chinachem Tower, 34-37 Connaught Road Central, Central, Hong Kong</t>
  </si>
  <si>
    <t>Suite 1505, 15/F, Millennium City 1, 388 Kwun Tong Road, Kwun Tong, Kowloon</t>
  </si>
  <si>
    <t>22/F, One Island East, 18 Westlands Road, Quarry Bay, Hong Kong</t>
  </si>
  <si>
    <t>Workshop 3, 10/F, Block A, Sea View Estate Industrial Building, 2-4 Watson Road, North Point, Hong Kong</t>
  </si>
  <si>
    <t>Unit 2001-2003, 20/F, Tower 5, The Gateway, Harbour City, Tsim Sha Tsui, Kowloon</t>
  </si>
  <si>
    <t>18/F, East Ocean Centre, 98 Granville Road, Tsim Sha Tsui, Kowloon</t>
  </si>
  <si>
    <t>Room 1102, 11/F, Hang Seng Building, 77 Des Voeux Road Central, Central, Hong Kong</t>
  </si>
  <si>
    <t>Suite 2508, 25/F, Skyline Tower, 39 Wang Kwong Road, Kowloon Bay, Kowloon</t>
  </si>
  <si>
    <t>10/F, Lee Garden One, 33 Hysan Avenue, Causeway Bay, Hong Kong</t>
  </si>
  <si>
    <t>Unit 905, 9/F, Hollywood Plaza, 610 Nathan Road, Mong Kok, Kowloon</t>
  </si>
  <si>
    <t>16/F, Tower 1, Evergain Plaza, 88 Container Port Road, Kwai Chung, New Territories</t>
  </si>
  <si>
    <t>Room 1801, 18/F, Millennium City 5, 418 Kwun Tong Road, Kwun Tong, Kowloon</t>
  </si>
  <si>
    <t>Shop 301, Level 3, Times Square, 1 Matheson Street, Causeway Bay, Hong Kong</t>
  </si>
  <si>
    <t>30/F, The Center, 99 Queen's Road Central, Central, Hong Kong</t>
  </si>
  <si>
    <t>Lot 12, 5/F, Wang Fai Industrial Building, 29 Luk Hop Street, San Po Kong, Kowloon</t>
  </si>
  <si>
    <t>Unit 702, 7/F, Silvercord, 30 Canton Road, Tsim Sha Tsui, Kowloon</t>
  </si>
  <si>
    <t>14/F, Remex Centre, 42 Wong Chuk Hang Road, Aberdeen, Hong Kong</t>
  </si>
  <si>
    <t>Kitchen 4, 8/F, Mega Cube, 8 Wang Kwong Road, Kowloon Bay, Kowloon</t>
  </si>
  <si>
    <t>Suite 1103, 11/F, Jubilee Centre, 18 Fenwick Street, Wan Chai, Hong Kong</t>
  </si>
  <si>
    <t>Unit 2201, 22/F, Enterprise Place, 9 Science Park West Avenue, Sha Tin, New Territories</t>
  </si>
  <si>
    <t>19/F, Lee Theatre Plaza, 99 Percival Street, Causeway Bay, Hong Kong</t>
  </si>
  <si>
    <t>Workshop 6, 12/F, Goodman Tsuen Wan Centre, 68 Chung On Street, Tsuen Wan, New Territories</t>
  </si>
  <si>
    <t>28/F, Edinburgh Tower, The Landmark, 15 Queen's Road Central, Central, Hong Kong</t>
  </si>
  <si>
    <t>60 days</t>
  </si>
  <si>
    <t>Room 1508, 15/F, Tower 3, China Hong Kong City, 33 Canton Road, Tsim Sha Tsui, Kowloon</t>
  </si>
  <si>
    <t>Suite 905, 9/F, Kin Sang Commercial Centre, 146-148 Tsat Tsz Mui Road, North Point, Hong Kong</t>
  </si>
  <si>
    <t>20/F, Telecom House, 3 Gloucester Road, Wan Chai, Hong Kong</t>
  </si>
  <si>
    <t>Unit 1802, 18/F, InnoCentre, 72 Tat Chee Avenue, Kowloon Tong, Kowloon</t>
  </si>
  <si>
    <t>25/F, World-Wide House, 19 Des Voeux Road Central, Central, Hong Kong</t>
  </si>
  <si>
    <t>Shop G3, G/F, Holiday Inn Golden Mile, 50 Nathan Road, Tsim Sha Tsui, Kowloon</t>
  </si>
  <si>
    <t>Unit 1204, 12/F, Cyberport 3, 100 Cyberport Road, Pok Fu Lam, Hong Kong</t>
  </si>
  <si>
    <t>16/F, Tower 2, The Quayside, 77 Hoi Bun Road, Kwun Tong, Kowloon</t>
  </si>
  <si>
    <t>Room 2101, 21/F, Harbour Centre, 25 Harbour Road, Wan Chai, Hong Kong</t>
  </si>
  <si>
    <t>9/F, Block B, Mai On Industrial Building, 17-21 Kung Yip Street, Kwai Chung, New Territories</t>
  </si>
  <si>
    <t>30/F, The Excelsior, 281 Gloucester Road, Causeway Bay, Hong Kong</t>
  </si>
  <si>
    <t>Suite 803, 8/F, Eastern Centre, 1065 King's Road, Quarry Bay, Hong Kong</t>
  </si>
  <si>
    <t>Unit 1505, 15/F, Paul Y. Centre, 51 Hung To Road, Kwun Tong, Kowloon</t>
  </si>
  <si>
    <t>32/F, Champion Tower, 3 Garden Road, Central, Hong Kong</t>
  </si>
  <si>
    <t>Office 7, 4/F, Airport Freight Forwarding Centre, 2 Chun Wan Road, Chek Lap Kok, Hong Kong</t>
  </si>
  <si>
    <t>Shop 205, 2/F, Lee Garden Two, 28 Yun Ping Road, Causeway Bay, Hong Kong</t>
  </si>
  <si>
    <t>12/F, Tower A, Regent Centre, 63 Wo Yi Hop Road, Kwai Chung, New Territories</t>
  </si>
  <si>
    <t>Unit 1001, 10/F, Enterprise Square Five, 38 Wang Chiu Road, Kowloon Bay, Kowloon</t>
  </si>
  <si>
    <t>Room 608, 6/F, Hollywood Centre, 233 Hollywood Road, Sheung Wan, Hong Kong</t>
  </si>
  <si>
    <t>18/F, Soundwill Plaza, 38 Russell Street, Causeway Bay, Hong Kong</t>
  </si>
  <si>
    <t>Workshop 2, 11/F, Technology Park, 18 On Lai Street, Sha Tin, New Territories</t>
  </si>
  <si>
    <t>Unit 903, 9/F, Global Trade Centre, 15 Wing Kin Road, Kwai Chung, New Territories</t>
  </si>
  <si>
    <t>90 days</t>
  </si>
  <si>
    <t>Room 1203, 12/F, Cameron Commercial Centre, 458-468 Hennessy Road, Wan Chai, Hong Kong</t>
  </si>
  <si>
    <t>35/F, Two International Finance Centre, 8 Finance Street, Central, Hong Kong</t>
  </si>
  <si>
    <t>Opportunity</t>
  </si>
  <si>
    <t>Closed-Won</t>
  </si>
  <si>
    <t>Case ID</t>
  </si>
  <si>
    <t>Case Status</t>
  </si>
  <si>
    <t>Case Status Last Update Date</t>
  </si>
  <si>
    <t>Case Status Duration (Days)</t>
  </si>
  <si>
    <t>Estimate Total Contract Value (HKD)</t>
  </si>
  <si>
    <t>Estimate Booked Date</t>
  </si>
  <si>
    <t>Project Name</t>
  </si>
  <si>
    <t>CA000001</t>
  </si>
  <si>
    <t>Warehouse IoT Hardware Deployment &amp; Software Integration</t>
  </si>
  <si>
    <t>CA000002</t>
  </si>
  <si>
    <t>Pipeline</t>
  </si>
  <si>
    <t>Server Hardware Upgrade with Cloud Management Software</t>
  </si>
  <si>
    <t>CA000003</t>
  </si>
  <si>
    <t>RFID Hardware Tracking System &amp; Inventory Software Suite</t>
  </si>
  <si>
    <t>CA000004</t>
  </si>
  <si>
    <t>Lead</t>
  </si>
  <si>
    <t>Network Hardware Firewall &amp; Security Monitoring Software</t>
  </si>
  <si>
    <t>CA000005</t>
  </si>
  <si>
    <t>Marine GPS Hardware Retrofit &amp; Navigation Software Platform</t>
  </si>
  <si>
    <t>CA000006</t>
  </si>
  <si>
    <t>Interactive Whiteboard Hardware &amp; E-Learning Software Module</t>
  </si>
  <si>
    <t>CA000007</t>
  </si>
  <si>
    <t>Closed-Lost</t>
  </si>
  <si>
    <t>BIM Hardware Workstations &amp; Construction Design Software</t>
  </si>
  <si>
    <t>CA000008</t>
  </si>
  <si>
    <t>Medical Imaging Hardware &amp; Patient Records Software System</t>
  </si>
  <si>
    <t>CA000009</t>
  </si>
  <si>
    <t>Solar Inverter Hardware &amp; Energy Monitoring Software</t>
  </si>
  <si>
    <t>CA000010</t>
  </si>
  <si>
    <t>Access Control Hardware &amp; Property Management Software</t>
  </si>
  <si>
    <t>CA000011</t>
  </si>
  <si>
    <t>Video Editing Hardware Rig &amp; Post-Production Software</t>
  </si>
  <si>
    <t>CA000012</t>
  </si>
  <si>
    <t>Biometric Scanner Hardware &amp; Insurance Verification Software</t>
  </si>
  <si>
    <t>CA000013</t>
  </si>
  <si>
    <t>AI Accelerator Hardware &amp; Machine Learning Framework Software</t>
  </si>
  <si>
    <t>CA000014</t>
  </si>
  <si>
    <t>POS Terminal Hardware Rollout &amp; Retail Analytics Software</t>
  </si>
  <si>
    <t>CA000015</t>
  </si>
  <si>
    <t>Disqualify</t>
  </si>
  <si>
    <t>HR Workstation Hardware &amp; Payroll Processing Software</t>
  </si>
  <si>
    <t>CA000016</t>
  </si>
  <si>
    <t>CNC Machine Hardware Upgrade &amp; Automation Control Software</t>
  </si>
  <si>
    <t>CA000017</t>
  </si>
  <si>
    <t>Booking Tablet Hardware &amp; Travel Itinerary Management Software</t>
  </si>
  <si>
    <t>CA000018</t>
  </si>
  <si>
    <t>3D Rendering Hardware &amp; Graphic Design Collaboration Software</t>
  </si>
  <si>
    <t>CA000019</t>
  </si>
  <si>
    <t>Kitchen Display Hardware &amp; Catering Order Software</t>
  </si>
  <si>
    <t>CA000020</t>
  </si>
  <si>
    <t>IP Camera Hardware Network &amp; Surveillance Analytics Software</t>
  </si>
  <si>
    <t>CA000021</t>
  </si>
  <si>
    <t>Lab Sequencer Hardware &amp; Bioinformatics Analysis Software</t>
  </si>
  <si>
    <t>CA000022</t>
  </si>
  <si>
    <t>CAD Workstation Hardware &amp; Fashion Pattern Design Software</t>
  </si>
  <si>
    <t>CA000023</t>
  </si>
  <si>
    <t>Sensor Hardware Array &amp; Structural Monitoring Software</t>
  </si>
  <si>
    <t>CA000024</t>
  </si>
  <si>
    <t>Document Scanner Hardware &amp; Legal Case Management Software</t>
  </si>
  <si>
    <t>CA000025</t>
  </si>
  <si>
    <t>Rack Server Hardware &amp; Custom ERP Migration Software</t>
  </si>
  <si>
    <t>CA000026</t>
  </si>
  <si>
    <t>AV Hardware Setup &amp; Event Registration Software</t>
  </si>
  <si>
    <t>CA000027</t>
  </si>
  <si>
    <t>Base Station Hardware &amp; Telecom Billing Software</t>
  </si>
  <si>
    <t>CA000028</t>
  </si>
  <si>
    <t>Chromatography Hardware &amp; Drug Trial Data Software</t>
  </si>
  <si>
    <t>CA000029</t>
  </si>
  <si>
    <t>Smart Lock Hardware System &amp; Real Estate CRM Software</t>
  </si>
  <si>
    <t>CA000030</t>
  </si>
  <si>
    <t>GPS Tracker Hardware &amp; Tour Routing Optimization Software</t>
  </si>
  <si>
    <t>CA000031</t>
  </si>
  <si>
    <t>VR Headset Hardware Fleet &amp; Game Engine Development Software</t>
  </si>
  <si>
    <t>CA000032</t>
  </si>
  <si>
    <t>Data Lake Hardware Cluster &amp; Predictive Analytics Software</t>
  </si>
  <si>
    <t>CA000033</t>
  </si>
  <si>
    <t>Telematics Hardware Units &amp; Shipping Logistics Software</t>
  </si>
  <si>
    <t>CA000034</t>
  </si>
  <si>
    <t>Robotic Vacuum Hardware &amp; Facility Cleaning Scheduling Software</t>
  </si>
  <si>
    <t>CA000035</t>
  </si>
  <si>
    <t>PMS Hardware Terminals &amp; Hotel Guest Experience Software</t>
  </si>
  <si>
    <t>CA000036</t>
  </si>
  <si>
    <t>Analytics Dashboard Hardware &amp; Ad Campaign Management Software</t>
  </si>
  <si>
    <t>CA000037</t>
  </si>
  <si>
    <t>Turbine Sensor Hardware &amp; Renewable Energy Forecasting Software</t>
  </si>
  <si>
    <t>CA000038</t>
  </si>
  <si>
    <t>Trading Workstation Hardware &amp; Portfolio Risk Software</t>
  </si>
  <si>
    <t>CA000039</t>
  </si>
  <si>
    <t>Baggage Scanner Hardware &amp; Airport Operations Software</t>
  </si>
  <si>
    <t>CA000040</t>
  </si>
  <si>
    <t>Wearable Fitness Hardware &amp; Wellness Tracking App Software</t>
  </si>
  <si>
    <t>CA000041</t>
  </si>
  <si>
    <t>Classroom Projector Hardware &amp; LMS Integration Software</t>
  </si>
  <si>
    <t>CA000042</t>
  </si>
  <si>
    <t>Emission Monitor Hardware &amp; ESG Reporting Software</t>
  </si>
  <si>
    <t>CA000043</t>
  </si>
  <si>
    <t>Broadcast Camera Hardware &amp; Media Asset Management Software</t>
  </si>
  <si>
    <t>CA000044</t>
  </si>
  <si>
    <t>Treadmill Hardware Network &amp; Fitness Membership Software</t>
  </si>
  <si>
    <t>CA000045</t>
  </si>
  <si>
    <t>Robotic Arm Hardware &amp; Factory Automation Control Software</t>
  </si>
  <si>
    <t>CA000046</t>
  </si>
  <si>
    <t>Barcode Scanner Hardware &amp; Organic Traceability Software</t>
  </si>
  <si>
    <t>CA000047</t>
  </si>
  <si>
    <t>Donation Kiosk Hardware &amp; Charity Fundraising Software</t>
  </si>
  <si>
    <t>CA000048</t>
  </si>
  <si>
    <t>GPU Server Hardware Farm &amp; Venture AI Modeling Software</t>
  </si>
  <si>
    <t>CA000049</t>
  </si>
  <si>
    <t>Edge Computing Hardware &amp; IoT Analytics Software</t>
  </si>
  <si>
    <t>CA000050</t>
  </si>
  <si>
    <t>Quantum Sensor Array &amp; Data Processing Platform</t>
  </si>
  <si>
    <t>CA000051</t>
  </si>
  <si>
    <t>Augmented Reality Hardware &amp; Training Simulation Software</t>
  </si>
  <si>
    <t>CA000052</t>
  </si>
  <si>
    <t>Biometric Access Hardware &amp; Identity Management Software</t>
  </si>
  <si>
    <t>CA000053</t>
  </si>
  <si>
    <t>Drone Inspection Hardware &amp; AI Vision Analysis Software</t>
  </si>
  <si>
    <t>CA000054</t>
  </si>
  <si>
    <t>Wearable Health Monitor Hardware &amp; Telemedicine App</t>
  </si>
  <si>
    <t>CA000055</t>
  </si>
  <si>
    <t>High-Frequency Trading Server Hardware &amp; Algorithmic Software</t>
  </si>
  <si>
    <t>CA000056</t>
  </si>
  <si>
    <t>Smart Grid Controller Hardware &amp; Energy Optimization Software</t>
  </si>
  <si>
    <t>CA000057</t>
  </si>
  <si>
    <t>Neural Network Accelerator Hardware &amp; Deep Learning Software Suite</t>
  </si>
  <si>
    <t>CA000058</t>
  </si>
  <si>
    <t>5G Edge Router Hardware Cluster &amp; Network Orchestration Software</t>
  </si>
  <si>
    <t>CA000059</t>
  </si>
  <si>
    <t>Haptic Feedback VR Hardware &amp; Immersive Training Software Platform</t>
  </si>
  <si>
    <t>CA000060</t>
  </si>
  <si>
    <t>Facial Recognition Terminal Hardware &amp; Access Control Management Software</t>
  </si>
  <si>
    <t>CA000061</t>
  </si>
  <si>
    <t>Autonomous Drone Fleet Hardware &amp; AI Swarm Intelligence Software</t>
  </si>
  <si>
    <t>CA000062</t>
  </si>
  <si>
    <t>Continuous Glucose Monitor Hardware &amp; Diabetes Management App Software</t>
  </si>
  <si>
    <t>CA000063</t>
  </si>
  <si>
    <t>Low-Latency Trading Server Hardware &amp; High-Frequency Algorithm Software</t>
  </si>
  <si>
    <t>CA000064</t>
  </si>
  <si>
    <t>Smart Meter Gateway Hardware &amp; Utility Grid Optimization Software</t>
  </si>
  <si>
    <t>CA000065</t>
  </si>
  <si>
    <t>Blockchain Node Hardware Array &amp; Decentralized Ledger Software</t>
  </si>
  <si>
    <t>CA000066</t>
  </si>
  <si>
    <t>Industrial IoT Sensor Network Hardware &amp; Predictive Maintenance Software</t>
  </si>
  <si>
    <t>CA000067</t>
  </si>
  <si>
    <t>Augmented Reality Glasses Hardware &amp; Field Service Technician Software</t>
  </si>
  <si>
    <t>CA000068</t>
  </si>
  <si>
    <t>Quantum-Resistant Encryption Hardware &amp; Secure Communication Software</t>
  </si>
  <si>
    <t>CA000069</t>
  </si>
  <si>
    <t>Photonic Computing Hardware &amp; Optical Signal Processing Software</t>
  </si>
  <si>
    <t>CA000070</t>
  </si>
  <si>
    <t>Neuromorphic Chip Hardware &amp; Brain-Inspired AI Software Framework</t>
  </si>
  <si>
    <t>CA000071</t>
  </si>
  <si>
    <t>Exoskeleton Robotic Hardware &amp; Rehabilitation Therapy Software</t>
  </si>
  <si>
    <t>CA000072</t>
  </si>
  <si>
    <t>Submersible ROV Hardware Fleet &amp; Underwater Mapping Software</t>
  </si>
  <si>
    <t>CA000073</t>
  </si>
  <si>
    <t>Smart Pill Dispenser Hardware &amp; Elderly Care Monitoring Software</t>
  </si>
  <si>
    <t>CA000074</t>
  </si>
  <si>
    <t>Ultra-Low Latency Network Switch Hardware &amp; Market Data Feed Software</t>
  </si>
  <si>
    <t>CA000075</t>
  </si>
  <si>
    <t>Advanced Metering Infrastructure Hardware &amp; Demand Response Software</t>
  </si>
  <si>
    <t>CA000076</t>
  </si>
  <si>
    <t>Zero-Knowledge Proof Hardware Accelerator &amp; Privacy-Preserving Software</t>
  </si>
  <si>
    <t>CA000077</t>
  </si>
  <si>
    <t>Vibration Sensor Network Hardware &amp; Structural Health Monitoring Software</t>
  </si>
  <si>
    <t>CA000078</t>
  </si>
  <si>
    <t>Holographic Display Hardware &amp; 3D Collaboration Software Platform</t>
  </si>
  <si>
    <t>CA000079</t>
  </si>
  <si>
    <t>Post-Quantum Cryptography Module Hardware &amp; Secure VPN Software</t>
  </si>
  <si>
    <t>CA000080</t>
  </si>
  <si>
    <t>Satellite Ground Station Hardware &amp; Low-Earth Orbit Data Software</t>
  </si>
  <si>
    <t>CA000081</t>
  </si>
  <si>
    <t>Brain-Computer Interface Hardware &amp; Neurofeedback Training Software</t>
  </si>
  <si>
    <t>CA000082</t>
  </si>
  <si>
    <t>FPGA Accelerator Hardware &amp; Custom Algorithm Optimization Software</t>
  </si>
  <si>
    <t>CA000083</t>
  </si>
  <si>
    <t>LiDAR Sensor Array Hardware &amp; Autonomous Navigation Software Suite</t>
  </si>
  <si>
    <t>CA000084</t>
  </si>
  <si>
    <t>Edge AI Camera Hardware Network &amp; Real-Time Video Analytics Software</t>
  </si>
  <si>
    <t>CA000085</t>
  </si>
  <si>
    <t>Wearable EEG Hardware Device &amp; Cognitive Performance Tracking Software</t>
  </si>
  <si>
    <t>CA000086</t>
  </si>
  <si>
    <t>High-Throughput DNA Synthesizer Hardware &amp; Gene Editing Workflow Software</t>
  </si>
  <si>
    <t>CA000087</t>
  </si>
  <si>
    <t>Industrial PLC Hardware Upgrade &amp; SCADA System Integration Software</t>
  </si>
  <si>
    <t>CA000088</t>
  </si>
  <si>
    <t>Smart Thermostat Hardware Fleet &amp; Energy Efficiency Management Software</t>
  </si>
  <si>
    <t>CA000089</t>
  </si>
  <si>
    <t>Multimodal Biometric Scanner Hardware &amp; Unified Identity Verification Software</t>
  </si>
  <si>
    <t>CA000090</t>
  </si>
  <si>
    <t>Cryogenic Cooling Hardware &amp; Quantum Simulation Software</t>
  </si>
  <si>
    <t>CA000091</t>
  </si>
  <si>
    <t>Hyperspectral Imaging Hardware &amp; Precision Agriculture Software</t>
  </si>
  <si>
    <t>CA000092</t>
  </si>
  <si>
    <t>Robotic Surgery Arm Hardware &amp; AI-Assisted Procedure Software</t>
  </si>
  <si>
    <t>CA000093</t>
  </si>
  <si>
    <t>Ultrasonic Flow Meter Hardware &amp; Fluid Dynamics Modeling Software</t>
  </si>
  <si>
    <t>CA000094</t>
  </si>
  <si>
    <t>Terahertz Scanner Hardware &amp; Non-Destructive Testing Software</t>
  </si>
  <si>
    <t>CA000095</t>
  </si>
  <si>
    <t>Fusion Reactor Prototype Hardware &amp; Plasma Control Software</t>
  </si>
  <si>
    <t>CA000096</t>
  </si>
  <si>
    <t>Neural Lace Implant Hardware &amp; Brain-Machine Interface Software</t>
  </si>
  <si>
    <t>CA000097</t>
  </si>
  <si>
    <t>Antimatter Containment Hardware &amp; Exotic Matter Simulation Software</t>
  </si>
  <si>
    <t>Quotation No.</t>
  </si>
  <si>
    <t>Sales Person</t>
  </si>
  <si>
    <t>Special Notes</t>
  </si>
  <si>
    <t>5% early payment discount if paid within 14 days. Includes 12-month warranty on hardware.</t>
  </si>
  <si>
    <t>Full inventory audit included. 2-year hardware warranty &amp; software updates.</t>
  </si>
  <si>
    <t>IMO-compliant. Includes crew training.</t>
  </si>
  <si>
    <t>Software includes cloud hosting for 1 year. Training session included.</t>
  </si>
  <si>
    <t>Certified for Revit/AutoCAD. Includes 4K monitors &amp; 3-year NBD on-site support.</t>
  </si>
  <si>
    <t>DICOM compliant. Cloud backup option available.</t>
  </si>
  <si>
    <t>Government green subsidy eligible. Remote monitoring app included.</t>
  </si>
  <si>
    <t>Integration with existing building management system. Mobile app access.</t>
  </si>
  <si>
    <t>GDPR &amp; HKPF compliant. Multi-factor authentication.</t>
  </si>
  <si>
    <t>High-performance computing cluster. 24/7 support for first 6 months.</t>
  </si>
  <si>
    <t>EMV &amp; NFC payment ready. Multi-store synchronization.</t>
  </si>
  <si>
    <t>Precision ±0.01mm. Remote diagnostics.</t>
  </si>
  <si>
    <t>Tablets pre-loaded with app. Offline sync capability.</t>
  </si>
  <si>
    <t>Waterproof &amp; heat-resistant. Integration with POS systems.</t>
  </si>
  <si>
    <t>Facial recognition module included.</t>
  </si>
  <si>
    <t>Includes validation kit and 3-year software updates.</t>
  </si>
  <si>
    <t>Pre-installed with Rhino &amp; Adobe Suite. 3-year on-site support.</t>
  </si>
  <si>
    <t>OCR in English/Chinese. e-Filing integration.</t>
  </si>
  <si>
    <t>Data migration from legacy system included.</t>
  </si>
  <si>
    <t>Carrier-grade. Includes spectrum licensing consultation.</t>
  </si>
  <si>
    <t>GMP-compliant. Validation documentation provided.</t>
  </si>
  <si>
    <t>Bulk discount applied. Integration with existing CCTV.</t>
  </si>
  <si>
    <t>Bulk enterprise licensing. Developer SDK included.</t>
  </si>
  <si>
    <t>Redundant RAID configuration. 5-year enterprise support.</t>
  </si>
  <si>
    <t>Real-time fuel and route analytics. API integration available.</t>
  </si>
  <si>
    <t>Mapping &amp; zoning included. Battery life: 6 hours.</t>
  </si>
  <si>
    <t>Channel manager integration (Booking.com, Expedia).</t>
  </si>
  <si>
    <t>Weather-resistant sensors. AI-based failure prediction.</t>
  </si>
  <si>
    <t>Real-time market data feed. Stress testing module.</t>
  </si>
  <si>
    <t>Heart rate &amp; sleep tracking. Custom branding available.</t>
  </si>
  <si>
    <t>Compatible with Moodle and Google Classroom.</t>
  </si>
  <si>
    <t>4K/60fps. Cloud archiving included.</t>
  </si>
  <si>
    <t>Heart-rate monitoring &amp; virtual classes. Bulk installation included.</t>
  </si>
  <si>
    <t>Safety certification included. On-site programming support.</t>
  </si>
  <si>
    <t>QR/NFC support. Immutable audit trail.</t>
  </si>
  <si>
    <t>Multi-language support (English, Cantonese, Mandarin).</t>
  </si>
  <si>
    <t>Includes prototype validation testing. 2-year R&amp;D support warranty.</t>
  </si>
  <si>
    <t>Energy-efficient AI processing. Includes neural network simulation toolkit.</t>
  </si>
  <si>
    <t>FDA/CE compliance pending. Custom gait analysis software included.</t>
  </si>
  <si>
    <t>4K camera &amp; manipulator arm. Includes operator training.</t>
  </si>
  <si>
    <t>Voice reminder &amp; app integration. Bulk elderly care facility discount.</t>
  </si>
  <si>
    <t>Co-location ready. Includes market data multicast optimization.</t>
  </si>
  <si>
    <t>Remote disconnect capability. Data encryption compliant.</t>
  </si>
  <si>
    <t>Privacy computing for blockchain. Open-source SDK included.</t>
  </si>
  <si>
    <t>Battery life: 5 years. Edge ML for anomaly detection.</t>
  </si>
  <si>
    <t>Gesture control enabled. Multi-user collaboration mode.</t>
  </si>
  <si>
    <t>NIST PQC compliant. FIPS 140-2 Level 3 certified.</t>
  </si>
  <si>
    <t>Auto-tracking. High-throughput satellite compatible.</t>
  </si>
  <si>
    <t>64-channel EEG. Real-time signal processing.</t>
  </si>
  <si>
    <t>Optimized for HPC workloads. Includes bitstream development kit.</t>
  </si>
  <si>
    <t>360° field of view. ROS-compatible drivers.</t>
  </si>
  <si>
    <t>200 TOPS performance. Pre-trained models for object detection.</t>
  </si>
  <si>
    <t>Sleep tracking &amp; meditation guidance. Bulk API access.</t>
  </si>
  <si>
    <t>Error rate &lt;1:10,000. Includes reagent starter kit.</t>
  </si>
  <si>
    <t>Modular I/O expansion. TIA Portal programming included.</t>
  </si>
  <si>
    <t>Machine learning for energy savings. Central management console.</t>
  </si>
  <si>
    <t>Liveness detection. GDPR/HKPDPO compliant.</t>
  </si>
  <si>
    <t>Item No.</t>
  </si>
  <si>
    <t>Description</t>
  </si>
  <si>
    <t>Quantity</t>
  </si>
  <si>
    <t>Unit Price (HKD)</t>
  </si>
  <si>
    <t>Net Price (HKD)</t>
  </si>
  <si>
    <t>Enterprise Server Blade (x10)</t>
  </si>
  <si>
    <t>Cloud Management Portal License</t>
  </si>
  <si>
    <t>RFID Tag Reader Hardware (Long-Range)</t>
  </si>
  <si>
    <t>Inventory Management Software (Cloud, 200 Users)</t>
  </si>
  <si>
    <t>Marine-Grade GPS Receiver</t>
  </si>
  <si>
    <t>Navigation &amp; AIS Software Suite</t>
  </si>
  <si>
    <t>Vessel Integration Service</t>
  </si>
  <si>
    <t>Interactive Smart Board (75")</t>
  </si>
  <si>
    <t>E-Learning Platform Software (50 Users)</t>
  </si>
  <si>
    <t>High-End BIM Workstation (Dual Xeon, 128GB RAM)</t>
  </si>
  <si>
    <t>Construction Design &amp; Collaboration Software (Cloud, 50 Users)</t>
  </si>
  <si>
    <t>VR Headset for Site Walkthrough (Oculus Pro)</t>
  </si>
  <si>
    <t>Ultrasound Imaging Hardware</t>
  </si>
  <si>
    <t>PACS Software System</t>
  </si>
  <si>
    <t>Solar Inverter (10kW Hybrid)</t>
  </si>
  <si>
    <t>Energy Monitoring Dashboard Software</t>
  </si>
  <si>
    <t>RFID Access Control Panel</t>
  </si>
  <si>
    <t>Property Management Software Suite (Annual)</t>
  </si>
  <si>
    <t>Fingerprint Scanner (Enterprise)</t>
  </si>
  <si>
    <t>Insurance Policy Verification Software</t>
  </si>
  <si>
    <t>NVIDIA A100 GPU Server (x4)</t>
  </si>
  <si>
    <t>AI/ML Framework License (Enterprise)</t>
  </si>
  <si>
    <t>On-site Deployment &amp; Training</t>
  </si>
  <si>
    <t>Touchscreen POS Terminal (15")</t>
  </si>
  <si>
    <t>Retail Analytics &amp; Loyalty Software</t>
  </si>
  <si>
    <t>CNC Milling Machine (Upgrade Kit)</t>
  </si>
  <si>
    <t>CAD/CAM Control Software</t>
  </si>
  <si>
    <t>Rugged Booking Tablet (IP67)</t>
  </si>
  <si>
    <t>Custom Tour Itinerary App (iOS/Android)</t>
  </si>
  <si>
    <t>Commercial Kitchen Display System (KDS) Hardware</t>
  </si>
  <si>
    <t>Catering Order &amp; Menu Management Software</t>
  </si>
  <si>
    <t>4K IP Camera (PoE)</t>
  </si>
  <si>
    <t>NVR with AI Analytics Software</t>
  </si>
  <si>
    <t>DNA Sequencer Hardware (Benchtop)</t>
  </si>
  <si>
    <t>Bioinformatics Pipeline Software (Annual)</t>
  </si>
  <si>
    <t>High-Resolution CAD Workstation (RTX 4080)</t>
  </si>
  <si>
    <t>Pattern Design &amp; Grading Software (Enterprise)</t>
  </si>
  <si>
    <t>High-Speed Document Scanner</t>
  </si>
  <si>
    <t>Legal Case Management Software</t>
  </si>
  <si>
    <t>Rack Server (2U, 64GB RAM)</t>
  </si>
  <si>
    <t>ERP Migration Module (Custom)</t>
  </si>
  <si>
    <t>5G Small Cell Base Station Hardware</t>
  </si>
  <si>
    <t>Network Billing &amp; OSS Software</t>
  </si>
  <si>
    <t>HPLC System (Analytical)</t>
  </si>
  <si>
    <t>Lab Data Management Software</t>
  </si>
  <si>
    <t>Smart Lock System (Biometric + RFID)</t>
  </si>
  <si>
    <t>Property CRM Software (Cloud, 100 Users)</t>
  </si>
  <si>
    <t>Mobile Access App Development</t>
  </si>
  <si>
    <t>Oculus Quest 3 VR Headset (Enterprise)</t>
  </si>
  <si>
    <t>Custom Game Engine License</t>
  </si>
  <si>
    <t>Big Data Storage Array (Petabyte-Scale)</t>
  </si>
  <si>
    <t>Predictive Analytics &amp; Dashboard Software (Enterprise License)</t>
  </si>
  <si>
    <t>Telematics GPS Tracker (Fleet Grade)</t>
  </si>
  <si>
    <t>Logistics Optimization Software</t>
  </si>
  <si>
    <t>Autonomous Cleaning Robot</t>
  </si>
  <si>
    <t>Facility Scheduling Software</t>
  </si>
  <si>
    <t>Hotel PMS All-in-One Terminal</t>
  </si>
  <si>
    <t>Guest Experience Mobile App &amp; CRM Software</t>
  </si>
  <si>
    <t>Wind Turbine Sensor Kit</t>
  </si>
  <si>
    <t>Predictive Maintenance Software</t>
  </si>
  <si>
    <t>Bloomberg Terminal Hardware Equivalent</t>
  </si>
  <si>
    <t>Custom Risk Modeling Software</t>
  </si>
  <si>
    <t>Wearable Fitness Tracker (Bulk Enterprise)</t>
  </si>
  <si>
    <t>Wellness Dashboard &amp; Progress Tracking Software</t>
  </si>
  <si>
    <t>4K Laser Projector (Classroom)</t>
  </si>
  <si>
    <t>LMS Integration Plugin</t>
  </si>
  <si>
    <t>Professional Broadcast Camera</t>
  </si>
  <si>
    <t>Media Asset Management Software</t>
  </si>
  <si>
    <t>Connected Treadmill with Touch Console</t>
  </si>
  <si>
    <t>Gym Membership &amp; Class Booking Software</t>
  </si>
  <si>
    <t>Industrial Robotic Arm (6-Axis)</t>
  </si>
  <si>
    <t>Custom Automation Control Software</t>
  </si>
  <si>
    <t>Handheld Barcode Scanner (Rugged)</t>
  </si>
  <si>
    <t>Blockchain Traceability Software</t>
  </si>
  <si>
    <t>Interactive Donation Kiosk (Touchscreen)</t>
  </si>
  <si>
    <t>Fundraising CRM &amp; Donor Management Software</t>
  </si>
  <si>
    <t>Photonic Processor Chip (Prototype)</t>
  </si>
  <si>
    <t>Optical Signal Processing Software Suite (Enterprise License)</t>
  </si>
  <si>
    <t>Neuromorphic Processor Hardware (SpiNNaker 2)</t>
  </si>
  <si>
    <t>Brain-Inspired AI Framework Software (Annual)</t>
  </si>
  <si>
    <t>Powered Exoskeleton Frame (Medical Grade)</t>
  </si>
  <si>
    <t>Rehabilitation Therapy Management Software</t>
  </si>
  <si>
    <t>Deep-Sea ROV (Remotely Operated Vehicle)</t>
  </si>
  <si>
    <t>Underwater 3D Mapping &amp; Sonar Software</t>
  </si>
  <si>
    <t>Automated Pill Dispenser Hardware (IoT-Enabled)</t>
  </si>
  <si>
    <t>Caregiver Monitoring &amp; Alert Software</t>
  </si>
  <si>
    <t>100Gbps Low-Latency Switch (Financial Grade)</t>
  </si>
  <si>
    <t>High-Frequency Trading Feed Handler Software</t>
  </si>
  <si>
    <t>Smart AMI Meter Hardware (NB-IoT)</t>
  </si>
  <si>
    <t>Demand Response &amp; Load Forecasting Software</t>
  </si>
  <si>
    <t>ZKP Hardware Accelerator Card (PCIe)</t>
  </si>
  <si>
    <t>Privacy-Preserving Analytics Software Platform</t>
  </si>
  <si>
    <t>Wireless Vibration Sensor Node (Industrial IoT)</t>
  </si>
  <si>
    <t>Structural Health Monitoring Dashboard Software</t>
  </si>
  <si>
    <t>Volumetric Holographic Display Unit</t>
  </si>
  <si>
    <t>3D Holographic Collaboration Software (Cloud)</t>
  </si>
  <si>
    <t>Lattice-Based Crypto Module (HSM)</t>
  </si>
  <si>
    <t>Post-Quantum Secure VPN Software</t>
  </si>
  <si>
    <t>Ka-Band Ground Station Antenna System</t>
  </si>
  <si>
    <t>LEO Satellite Data Processing Software</t>
  </si>
  <si>
    <t>Non-Invasive BCI Headset (Research Grade)</t>
  </si>
  <si>
    <t>Neurofeedback &amp; Cognitive Training Software</t>
  </si>
  <si>
    <t>Xilinx Alveo U55C FPGA Card</t>
  </si>
  <si>
    <t>Custom FPGA Algorithm Acceleration Software</t>
  </si>
  <si>
    <t>Velodyne Puck LiDAR Sensor (VLP-16)</t>
  </si>
  <si>
    <t>SLAM Navigation Software for Robotics</t>
  </si>
  <si>
    <t>NVIDIA Jetson Orin NX Edge AI Module</t>
  </si>
  <si>
    <t>Real-Time Video Analytics Pipeline Software</t>
  </si>
  <si>
    <t>Muse S EEG Wearable Headband</t>
  </si>
  <si>
    <t>Cognitive Performance Dashboard Software</t>
  </si>
  <si>
    <t>Benchtop DNA Synthesizer (Kilobase Capacity)</t>
  </si>
  <si>
    <t>CRISPR Design &amp; Verification Software</t>
  </si>
  <si>
    <t>Siemens SIMATIC S7-1500 PLC Controller</t>
  </si>
  <si>
    <t>SCADA System with Cybersecurity Module</t>
  </si>
  <si>
    <t>Nest Learning Thermostat (Enterprise Bulk)</t>
  </si>
  <si>
    <t>Building Energy Optimization Software</t>
  </si>
  <si>
    <t>Multi-Modal Biometric Terminal (Face + Iris + Fingerprint)</t>
  </si>
  <si>
    <t>Unified Identity &amp; Access Management Software</t>
  </si>
  <si>
    <t>IoT Gateway Device (Model: IG-500)</t>
  </si>
  <si>
    <t>Warehouse Management Software License (Annual)</t>
  </si>
  <si>
    <t>Installation &amp; Integration Service</t>
  </si>
  <si>
    <t>Contract No.</t>
  </si>
  <si>
    <t>Contract Start Date</t>
  </si>
  <si>
    <t>Contract Expiry Date</t>
  </si>
  <si>
    <t>Total Amount (HKD)</t>
  </si>
  <si>
    <t>QN000001</t>
  </si>
  <si>
    <t>QN000002</t>
  </si>
  <si>
    <t>QN000003</t>
  </si>
  <si>
    <t>QN000004</t>
  </si>
  <si>
    <t>QN000005</t>
  </si>
  <si>
    <t>QN000006</t>
  </si>
  <si>
    <t>QN000007</t>
  </si>
  <si>
    <t>QN000008</t>
  </si>
  <si>
    <t>QN000009</t>
  </si>
  <si>
    <t>QN000010</t>
  </si>
  <si>
    <t>QN000011</t>
  </si>
  <si>
    <t>QN000012</t>
  </si>
  <si>
    <t>QN000014</t>
  </si>
  <si>
    <t>QN000015</t>
  </si>
  <si>
    <t>QN000016</t>
  </si>
  <si>
    <t>QN000017</t>
  </si>
  <si>
    <t>QN000018</t>
  </si>
  <si>
    <t>QN000019</t>
  </si>
  <si>
    <t>QN000020</t>
  </si>
  <si>
    <t>QN000021</t>
  </si>
  <si>
    <t>QN000022</t>
  </si>
  <si>
    <t>QN000023</t>
  </si>
  <si>
    <t>QN000024</t>
  </si>
  <si>
    <t>QN000025</t>
  </si>
  <si>
    <t>QN000026</t>
  </si>
  <si>
    <t>QN000027</t>
  </si>
  <si>
    <t>QN000028</t>
  </si>
  <si>
    <t>QN000029</t>
  </si>
  <si>
    <t>QN000030</t>
  </si>
  <si>
    <t>QN000031</t>
  </si>
  <si>
    <t>QN000032</t>
  </si>
  <si>
    <t>QN000033</t>
  </si>
  <si>
    <t>QN000034</t>
  </si>
  <si>
    <t>QN000035</t>
  </si>
  <si>
    <t>QN000036</t>
  </si>
  <si>
    <t>QN000037</t>
  </si>
  <si>
    <t>QN000038</t>
  </si>
  <si>
    <t>QN000039</t>
  </si>
  <si>
    <t>QN000040</t>
  </si>
  <si>
    <t>QN000041</t>
  </si>
  <si>
    <t>QN000042</t>
  </si>
  <si>
    <t>QN000043</t>
  </si>
  <si>
    <t>QN000044</t>
  </si>
  <si>
    <t>QN000045</t>
  </si>
  <si>
    <t>QN000046</t>
  </si>
  <si>
    <t>QN000047</t>
  </si>
  <si>
    <t>QN000048</t>
  </si>
  <si>
    <t>QN000049</t>
  </si>
  <si>
    <t>QN000050</t>
  </si>
  <si>
    <t>QN000051</t>
  </si>
  <si>
    <t>QN000052</t>
  </si>
  <si>
    <t>QN000053</t>
  </si>
  <si>
    <t>QN000054</t>
  </si>
  <si>
    <t>QN000055</t>
  </si>
  <si>
    <t>QN000056</t>
  </si>
  <si>
    <t>QN000057</t>
  </si>
  <si>
    <t>QN000058</t>
  </si>
  <si>
    <t>QN000013</t>
  </si>
  <si>
    <t>CN00014</t>
  </si>
  <si>
    <t>CN00002</t>
  </si>
  <si>
    <t>CN00003</t>
  </si>
  <si>
    <t>CN00015</t>
  </si>
  <si>
    <t>CN00004</t>
  </si>
  <si>
    <t>CN00016</t>
  </si>
  <si>
    <t>CN00005</t>
  </si>
  <si>
    <t>CN00017</t>
  </si>
  <si>
    <t>CN00007</t>
  </si>
  <si>
    <t>CN00018</t>
  </si>
  <si>
    <t>CN00008</t>
  </si>
  <si>
    <t>CN00009</t>
  </si>
  <si>
    <t>CN00010</t>
  </si>
  <si>
    <t>CN00019</t>
  </si>
  <si>
    <t>CN00011</t>
  </si>
  <si>
    <t>CN00020</t>
  </si>
  <si>
    <t>CN00012</t>
  </si>
  <si>
    <t>CN00013</t>
  </si>
  <si>
    <t>CN00021</t>
  </si>
  <si>
    <t>CN00022</t>
  </si>
  <si>
    <t>CN00023</t>
  </si>
  <si>
    <t>CN00024</t>
  </si>
  <si>
    <t>CN00025</t>
  </si>
  <si>
    <t>CN00026</t>
  </si>
  <si>
    <t>CN00027</t>
  </si>
  <si>
    <t>CN00028</t>
  </si>
  <si>
    <t>CN00029</t>
  </si>
  <si>
    <t>CN00030</t>
  </si>
  <si>
    <t>CN00031</t>
  </si>
  <si>
    <t>CN00032</t>
  </si>
  <si>
    <t>CN00033</t>
  </si>
  <si>
    <t>CN00034</t>
  </si>
  <si>
    <t>CN00035</t>
  </si>
  <si>
    <t>CN00036</t>
  </si>
  <si>
    <t>CN00037</t>
  </si>
  <si>
    <t>CN00038</t>
  </si>
  <si>
    <t>CN00039</t>
  </si>
  <si>
    <t>CN00040</t>
  </si>
  <si>
    <t>CN00041</t>
  </si>
  <si>
    <t>CN00042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</si>
</sst>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3" fontId="0" fillId="3" borderId="0" xfId="0" applyNumberFormat="1" applyFill="1" applyAlignment="1">
      <alignment vertical="center" wrapText="1"/>
    </xf>
    <xf numFmtId="3" fontId="0" fillId="4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3" borderId="0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4" borderId="0" xfId="0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6" borderId="0" xfId="0" applyFill="1"/>
    <xf numFmtId="0" fontId="0" fillId="2" borderId="0" xfId="0" applyFill="1"/>
    <xf numFmtId="0" fontId="0" fillId="4" borderId="0" xfId="0" applyFill="1"/>
    <xf numFmtId="3" fontId="0" fillId="2" borderId="0" xfId="0" applyNumberFormat="1" applyFill="1"/>
    <xf numFmtId="164" fontId="0" fillId="2" borderId="0" xfId="0" applyNumberFormat="1" applyFill="1"/>
    <xf numFmtId="3" fontId="0" fillId="4" borderId="0" xfId="0" applyNumberFormat="1" applyFill="1"/>
    <xf numFmtId="164" fontId="0" fillId="4" borderId="0" xfId="0" applyNumberFormat="1" applyFill="1"/>
    <xf numFmtId="0" fontId="0" fillId="4" borderId="1" xfId="0" applyFill="1" applyBorder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4" fontId="0" fillId="0" borderId="0" xfId="0" applyNumberFormat="1"/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2" fillId="3" borderId="0" xfId="1" applyFill="1" applyAlignment="1">
      <alignment vertical="center" wrapText="1"/>
    </xf>
    <xf numFmtId="0" fontId="2" fillId="2" borderId="0" xfId="1" applyFill="1" applyAlignment="1">
      <alignment vertical="center" wrapText="1"/>
    </xf>
    <xf numFmtId="0" fontId="2" fillId="4" borderId="0" xfId="1" applyFill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0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0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laura.chow@emeraldisle.hk" TargetMode="External"/><Relationship Id="rId21" Type="http://schemas.openxmlformats.org/officeDocument/2006/relationships/hyperlink" Target="mailto:gordon.ng@lanterngate.hk" TargetMode="External"/><Relationship Id="rId42" Type="http://schemas.openxmlformats.org/officeDocument/2006/relationships/hyperlink" Target="mailto:brian.yip@lionrockenergy.hk" TargetMode="External"/><Relationship Id="rId47" Type="http://schemas.openxmlformats.org/officeDocument/2006/relationships/hyperlink" Target="mailto:grace.sze@skylinetower.hk" TargetMode="External"/><Relationship Id="rId63" Type="http://schemas.openxmlformats.org/officeDocument/2006/relationships/hyperlink" Target="mailto:william.leung@sovereigngate.hk" TargetMode="External"/><Relationship Id="rId68" Type="http://schemas.openxmlformats.org/officeDocument/2006/relationships/hyperlink" Target="mailto:brian.tam@eclipsemoon.hk" TargetMode="External"/><Relationship Id="rId16" Type="http://schemas.openxmlformats.org/officeDocument/2006/relationships/hyperlink" Target="mailto:rachel.wong@phoenixbay.hk" TargetMode="External"/><Relationship Id="rId11" Type="http://schemas.openxmlformats.org/officeDocument/2006/relationships/hyperlink" Target="mailto:victor.chow@kowloonstar.hk" TargetMode="External"/><Relationship Id="rId32" Type="http://schemas.openxmlformats.org/officeDocument/2006/relationships/hyperlink" Target="mailto:rebecca.ho@summitcrest.hk" TargetMode="External"/><Relationship Id="rId37" Type="http://schemas.openxmlformats.org/officeDocument/2006/relationships/hyperlink" Target="mailto:walter.poon@typhoonshield.hk" TargetMode="External"/><Relationship Id="rId53" Type="http://schemas.openxmlformats.org/officeDocument/2006/relationships/hyperlink" Target="mailto:michelle.fung@harmonybay.hk" TargetMode="External"/><Relationship Id="rId58" Type="http://schemas.openxmlformats.org/officeDocument/2006/relationships/hyperlink" Target="mailto:rita.chan@crimsonphoenix.hk" TargetMode="External"/><Relationship Id="rId74" Type="http://schemas.openxmlformats.org/officeDocument/2006/relationships/hyperlink" Target="mailto:harold.leung@opalbridge.hk" TargetMode="External"/><Relationship Id="rId79" Type="http://schemas.openxmlformats.org/officeDocument/2006/relationships/hyperlink" Target="mailto:michelle.tam@ivorytower.hk" TargetMode="External"/><Relationship Id="rId5" Type="http://schemas.openxmlformats.org/officeDocument/2006/relationships/hyperlink" Target="mailto:henry.tam@celestialdragon.hk" TargetMode="External"/><Relationship Id="rId61" Type="http://schemas.openxmlformats.org/officeDocument/2006/relationships/hyperlink" Target="mailto:umar.ho@evergreenpeak.hk" TargetMode="External"/><Relationship Id="rId19" Type="http://schemas.openxmlformats.org/officeDocument/2006/relationships/hyperlink" Target="mailto:edward.poon@silkroadglobal.hk" TargetMode="External"/><Relationship Id="rId14" Type="http://schemas.openxmlformats.org/officeDocument/2006/relationships/hyperlink" Target="mailto:isabella.ho@jadelotus.hk" TargetMode="External"/><Relationship Id="rId22" Type="http://schemas.openxmlformats.org/officeDocument/2006/relationships/hyperlink" Target="mailto:helena.yip@goldenharbour.hk" TargetMode="External"/><Relationship Id="rId27" Type="http://schemas.openxmlformats.org/officeDocument/2006/relationships/hyperlink" Target="mailto:martin.sze@dragonflymedia.hk" TargetMode="External"/><Relationship Id="rId30" Type="http://schemas.openxmlformats.org/officeDocument/2006/relationships/hyperlink" Target="mailto:paula.wong@pacificrim.hk" TargetMode="External"/><Relationship Id="rId35" Type="http://schemas.openxmlformats.org/officeDocument/2006/relationships/hyperlink" Target="mailto:ulysses.ng@typhoonshield.hk" TargetMode="External"/><Relationship Id="rId43" Type="http://schemas.openxmlformats.org/officeDocument/2006/relationships/hyperlink" Target="mailto:clara.leung@lionrockenergy.hk" TargetMode="External"/><Relationship Id="rId48" Type="http://schemas.openxmlformats.org/officeDocument/2006/relationships/hyperlink" Target="mailto:harold.tam@skylinetower.hk" TargetMode="External"/><Relationship Id="rId56" Type="http://schemas.openxmlformats.org/officeDocument/2006/relationships/hyperlink" Target="mailto:peter.tse@nebulacloud.hk" TargetMode="External"/><Relationship Id="rId64" Type="http://schemas.openxmlformats.org/officeDocument/2006/relationships/hyperlink" Target="mailto:xavier.mok@radiantstar.hk" TargetMode="External"/><Relationship Id="rId69" Type="http://schemas.openxmlformats.org/officeDocument/2006/relationships/hyperlink" Target="mailto:clara.chan@regalharbour.hk" TargetMode="External"/><Relationship Id="rId77" Type="http://schemas.openxmlformats.org/officeDocument/2006/relationships/hyperlink" Target="mailto:karen.chow@crimsontide.hk" TargetMode="External"/><Relationship Id="rId8" Type="http://schemas.openxmlformats.org/officeDocument/2006/relationships/hyperlink" Target="mailto:olivia.leung@harbourbridge.hk" TargetMode="External"/><Relationship Id="rId51" Type="http://schemas.openxmlformats.org/officeDocument/2006/relationships/hyperlink" Target="mailto:karen.lee@imperialcrown.hk" TargetMode="External"/><Relationship Id="rId72" Type="http://schemas.openxmlformats.org/officeDocument/2006/relationships/hyperlink" Target="mailto:frank.ho@titanforge.hk" TargetMode="External"/><Relationship Id="rId80" Type="http://schemas.openxmlformats.org/officeDocument/2006/relationships/hyperlink" Target="mailto:nathan.chan@sapphiresea.hk" TargetMode="External"/><Relationship Id="rId3" Type="http://schemas.openxmlformats.org/officeDocument/2006/relationships/hyperlink" Target="mailto:kenneth.wong@celestialdragon.hk" TargetMode="External"/><Relationship Id="rId12" Type="http://schemas.openxmlformats.org/officeDocument/2006/relationships/hyperlink" Target="mailto:grace.sze@kowloonstar.hk" TargetMode="External"/><Relationship Id="rId17" Type="http://schemas.openxmlformats.org/officeDocument/2006/relationships/hyperlink" Target="mailto:kevin.lee@phoenixbay.hk" TargetMode="External"/><Relationship Id="rId25" Type="http://schemas.openxmlformats.org/officeDocument/2006/relationships/hyperlink" Target="mailto:keith.hui@emeraldisle.hk" TargetMode="External"/><Relationship Id="rId33" Type="http://schemas.openxmlformats.org/officeDocument/2006/relationships/hyperlink" Target="mailto:simon.fung@summitcrest.hk" TargetMode="External"/><Relationship Id="rId38" Type="http://schemas.openxmlformats.org/officeDocument/2006/relationships/hyperlink" Target="mailto:xavier.chan@pearlriver.hk" TargetMode="External"/><Relationship Id="rId46" Type="http://schemas.openxmlformats.org/officeDocument/2006/relationships/hyperlink" Target="mailto:frank.chow@fragrantfoods.hk" TargetMode="External"/><Relationship Id="rId59" Type="http://schemas.openxmlformats.org/officeDocument/2006/relationships/hyperlink" Target="mailto:steven.wong@azurewave.hk" TargetMode="External"/><Relationship Id="rId67" Type="http://schemas.openxmlformats.org/officeDocument/2006/relationships/hyperlink" Target="mailto:amanda.sze@vanguardhill.hk" TargetMode="External"/><Relationship Id="rId20" Type="http://schemas.openxmlformats.org/officeDocument/2006/relationships/hyperlink" Target="mailto:fiona.chan@lanterngate.hk" TargetMode="External"/><Relationship Id="rId41" Type="http://schemas.openxmlformats.org/officeDocument/2006/relationships/hyperlink" Target="mailto:alice.ho@bamboogrove.hk" TargetMode="External"/><Relationship Id="rId54" Type="http://schemas.openxmlformats.org/officeDocument/2006/relationships/hyperlink" Target="mailto:nathan.lam@fortunewave.hk" TargetMode="External"/><Relationship Id="rId62" Type="http://schemas.openxmlformats.org/officeDocument/2006/relationships/hyperlink" Target="mailto:victoria.yip@sovereigngate.hk" TargetMode="External"/><Relationship Id="rId70" Type="http://schemas.openxmlformats.org/officeDocument/2006/relationships/hyperlink" Target="mailto:david.wong@quantumleap.hk" TargetMode="External"/><Relationship Id="rId75" Type="http://schemas.openxmlformats.org/officeDocument/2006/relationships/hyperlink" Target="mailto:iris.mok@sterlingwave.hk" TargetMode="External"/><Relationship Id="rId1" Type="http://schemas.openxmlformats.org/officeDocument/2006/relationships/hyperlink" Target="mailto:raymond.cheung@apexhorizon.hk" TargetMode="External"/><Relationship Id="rId6" Type="http://schemas.openxmlformats.org/officeDocument/2006/relationships/hyperlink" Target="mailto:elizabeth.ho@victoriapeak.hk" TargetMode="External"/><Relationship Id="rId15" Type="http://schemas.openxmlformats.org/officeDocument/2006/relationships/hyperlink" Target="mailto:jonathan.lam@phoenixbay.hk" TargetMode="External"/><Relationship Id="rId23" Type="http://schemas.openxmlformats.org/officeDocument/2006/relationships/hyperlink" Target="mailto:ian.leung@goldenharbour.hk" TargetMode="External"/><Relationship Id="rId28" Type="http://schemas.openxmlformats.org/officeDocument/2006/relationships/hyperlink" Target="mailto:natalie.tam@dragonflymedia.hk" TargetMode="External"/><Relationship Id="rId36" Type="http://schemas.openxmlformats.org/officeDocument/2006/relationships/hyperlink" Target="mailto:vanessa.tse@typhoonshield.hk" TargetMode="External"/><Relationship Id="rId49" Type="http://schemas.openxmlformats.org/officeDocument/2006/relationships/hyperlink" Target="mailto:iris.chan@redsail.hk" TargetMode="External"/><Relationship Id="rId57" Type="http://schemas.openxmlformats.org/officeDocument/2006/relationships/hyperlink" Target="mailto:quinn.poon@crimsonphoenix.hk" TargetMode="External"/><Relationship Id="rId10" Type="http://schemas.openxmlformats.org/officeDocument/2006/relationships/hyperlink" Target="mailto:patricia.hui@kowloonstar.hk" TargetMode="External"/><Relationship Id="rId31" Type="http://schemas.openxmlformats.org/officeDocument/2006/relationships/hyperlink" Target="mailto:quentin.lee@pacificrim.hk" TargetMode="External"/><Relationship Id="rId44" Type="http://schemas.openxmlformats.org/officeDocument/2006/relationships/hyperlink" Target="mailto:david.mok@lionrockenergy.hk" TargetMode="External"/><Relationship Id="rId52" Type="http://schemas.openxmlformats.org/officeDocument/2006/relationships/hyperlink" Target="mailto:leonard.ho@harmonybay.hk" TargetMode="External"/><Relationship Id="rId60" Type="http://schemas.openxmlformats.org/officeDocument/2006/relationships/hyperlink" Target="mailto:tina.lee@evergreenpeak.hk" TargetMode="External"/><Relationship Id="rId65" Type="http://schemas.openxmlformats.org/officeDocument/2006/relationships/hyperlink" Target="mailto:yvonne.hui@thunderbolt.hk" TargetMode="External"/><Relationship Id="rId73" Type="http://schemas.openxmlformats.org/officeDocument/2006/relationships/hyperlink" Target="mailto:grace.yip@velvetsky.hk" TargetMode="External"/><Relationship Id="rId78" Type="http://schemas.openxmlformats.org/officeDocument/2006/relationships/hyperlink" Target="mailto:leonard.sze@zenithpeak.hk" TargetMode="External"/><Relationship Id="rId81" Type="http://schemas.openxmlformats.org/officeDocument/2006/relationships/hyperlink" Target="mailto:olivia.wong@eternalflame.hk" TargetMode="External"/><Relationship Id="rId4" Type="http://schemas.openxmlformats.org/officeDocument/2006/relationships/hyperlink" Target="mailto:sophia.ng@celestialdragon.hk" TargetMode="External"/><Relationship Id="rId9" Type="http://schemas.openxmlformats.org/officeDocument/2006/relationships/hyperlink" Target="mailto:derek.mok@harbourbridge.hk" TargetMode="External"/><Relationship Id="rId13" Type="http://schemas.openxmlformats.org/officeDocument/2006/relationships/hyperlink" Target="mailto:benjamin.fung@jadelotus.hk" TargetMode="External"/><Relationship Id="rId18" Type="http://schemas.openxmlformats.org/officeDocument/2006/relationships/hyperlink" Target="mailto:amanda.tse@silkroadglobal.hk" TargetMode="External"/><Relationship Id="rId39" Type="http://schemas.openxmlformats.org/officeDocument/2006/relationships/hyperlink" Target="mailto:yvonne.wong@pearlriver.hk" TargetMode="External"/><Relationship Id="rId34" Type="http://schemas.openxmlformats.org/officeDocument/2006/relationships/hyperlink" Target="mailto:teresa.lam@orchidbloom.hk" TargetMode="External"/><Relationship Id="rId50" Type="http://schemas.openxmlformats.org/officeDocument/2006/relationships/hyperlink" Target="mailto:jack.wong@imperialcrown.hk" TargetMode="External"/><Relationship Id="rId55" Type="http://schemas.openxmlformats.org/officeDocument/2006/relationships/hyperlink" Target="mailto:olivia.ng@nebulacloud.hk" TargetMode="External"/><Relationship Id="rId76" Type="http://schemas.openxmlformats.org/officeDocument/2006/relationships/hyperlink" Target="mailto:jack.hui@auroraborealis.hk" TargetMode="External"/><Relationship Id="rId7" Type="http://schemas.openxmlformats.org/officeDocument/2006/relationships/hyperlink" Target="mailto:marcus.yip@victoriapeak.hk" TargetMode="External"/><Relationship Id="rId71" Type="http://schemas.openxmlformats.org/officeDocument/2006/relationships/hyperlink" Target="mailto:eva.lee@mysticlantern.hk" TargetMode="External"/><Relationship Id="rId2" Type="http://schemas.openxmlformats.org/officeDocument/2006/relationships/hyperlink" Target="mailto:vivian.lau@apexhorizon.hk" TargetMode="External"/><Relationship Id="rId29" Type="http://schemas.openxmlformats.org/officeDocument/2006/relationships/hyperlink" Target="mailto:oscar.chan@pacificrim.hk" TargetMode="External"/><Relationship Id="rId24" Type="http://schemas.openxmlformats.org/officeDocument/2006/relationships/hyperlink" Target="mailto:julia.mok@goldenharbour.hk" TargetMode="External"/><Relationship Id="rId40" Type="http://schemas.openxmlformats.org/officeDocument/2006/relationships/hyperlink" Target="mailto:zachary.lee@bamboogrove.hk" TargetMode="External"/><Relationship Id="rId45" Type="http://schemas.openxmlformats.org/officeDocument/2006/relationships/hyperlink" Target="mailto:eva.hui@fragrantfoods.hk" TargetMode="External"/><Relationship Id="rId66" Type="http://schemas.openxmlformats.org/officeDocument/2006/relationships/hyperlink" Target="mailto:zachary.chow@serenitylake.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17" sqref="C17"/>
    </sheetView>
    <sheetView tabSelected="1" workbookViewId="1"/>
  </sheetViews>
  <sheetFormatPr defaultColWidth="27.5703125" defaultRowHeight="15"/>
  <cols>
    <col min="1" max="1" width="4.140625" customWidth="1"/>
    <col min="2" max="2" width="17.7109375" customWidth="1"/>
    <col min="3" max="5" width="19.42578125" customWidth="1"/>
    <col min="6" max="6" width="4.5703125" customWidth="1"/>
    <col min="7" max="7" width="13.140625" customWidth="1"/>
    <col min="8" max="8" width="13.85546875" customWidth="1"/>
    <col min="9" max="9" width="4.5703125" customWidth="1"/>
    <col min="10" max="10" width="5.140625" customWidth="1"/>
    <col min="11" max="11" width="11.85546875" customWidth="1"/>
    <col min="12" max="12" width="8.42578125" customWidth="1"/>
    <col min="13" max="13" width="11.85546875" customWidth="1"/>
    <col min="14" max="14" width="11.28515625" customWidth="1"/>
    <col min="15" max="15" width="9.85546875" customWidth="1"/>
    <col min="16" max="16" width="11.140625" customWidth="1"/>
  </cols>
  <sheetData>
    <row r="1" spans="1: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</row>
    <row r="2" spans="1:5" ht="30">
      <c r="A2" s="41">
        <v>1</v>
      </c>
      <c r="B2" s="16" t="s">
        <v>5</v>
      </c>
      <c r="C2" s="16" t="s">
        <v>6</v>
      </c>
      <c r="D2" s="42" t="s">
        <v>7</v>
      </c>
      <c r="E2" s="16" t="s">
        <v>8</v>
      </c>
    </row>
    <row r="3" spans="1:5" ht="30">
      <c r="A3" s="41">
        <v>2</v>
      </c>
      <c r="B3" s="16" t="s">
        <v>9</v>
      </c>
      <c r="C3" s="16" t="s">
        <v>10</v>
      </c>
      <c r="D3" s="42" t="s">
        <v>7</v>
      </c>
      <c r="E3" s="16" t="s">
        <v>11</v>
      </c>
    </row>
    <row r="4" spans="1:5" ht="30">
      <c r="A4" s="43">
        <v>3</v>
      </c>
      <c r="B4" s="17" t="s">
        <v>12</v>
      </c>
      <c r="C4" s="17" t="s">
        <v>13</v>
      </c>
      <c r="D4" s="42" t="s">
        <v>7</v>
      </c>
      <c r="E4" s="17" t="s">
        <v>14</v>
      </c>
    </row>
    <row r="5" spans="1:5" ht="30">
      <c r="A5" s="43">
        <v>4</v>
      </c>
      <c r="B5" s="17" t="s">
        <v>15</v>
      </c>
      <c r="C5" s="17" t="s">
        <v>16</v>
      </c>
      <c r="D5" s="42" t="s">
        <v>7</v>
      </c>
      <c r="E5" s="17" t="s">
        <v>17</v>
      </c>
    </row>
    <row r="6" spans="1:5" ht="30">
      <c r="A6" s="43">
        <v>5</v>
      </c>
      <c r="B6" s="17" t="s">
        <v>18</v>
      </c>
      <c r="C6" s="17" t="s">
        <v>19</v>
      </c>
      <c r="D6" s="42" t="s">
        <v>7</v>
      </c>
      <c r="E6" s="17" t="s">
        <v>20</v>
      </c>
    </row>
    <row r="7" spans="1:5" ht="30">
      <c r="A7" s="44">
        <v>6</v>
      </c>
      <c r="B7" s="45" t="s">
        <v>21</v>
      </c>
      <c r="C7" s="45" t="s">
        <v>22</v>
      </c>
      <c r="D7" s="42" t="s">
        <v>7</v>
      </c>
      <c r="E7" s="45" t="s">
        <v>23</v>
      </c>
    </row>
    <row r="8" spans="1:5" ht="30">
      <c r="A8" s="44">
        <v>7</v>
      </c>
      <c r="B8" s="45" t="s">
        <v>24</v>
      </c>
      <c r="C8" s="45" t="s">
        <v>25</v>
      </c>
      <c r="D8" s="42" t="s">
        <v>7</v>
      </c>
      <c r="E8" s="45" t="s">
        <v>26</v>
      </c>
    </row>
    <row r="9" spans="1:5" ht="30">
      <c r="A9" s="44">
        <v>8</v>
      </c>
      <c r="B9" s="45" t="s">
        <v>27</v>
      </c>
      <c r="C9" s="45" t="s">
        <v>28</v>
      </c>
      <c r="D9" s="42" t="s">
        <v>7</v>
      </c>
      <c r="E9" s="45" t="s">
        <v>29</v>
      </c>
    </row>
    <row r="10" spans="1:5" ht="30">
      <c r="A10" s="44">
        <v>9</v>
      </c>
      <c r="B10" s="45" t="s">
        <v>30</v>
      </c>
      <c r="C10" s="45" t="s">
        <v>31</v>
      </c>
      <c r="D10" s="42" t="s">
        <v>7</v>
      </c>
      <c r="E10" s="45" t="s">
        <v>32</v>
      </c>
    </row>
    <row r="11" spans="1:5" ht="30">
      <c r="A11" s="46">
        <v>10</v>
      </c>
      <c r="B11" s="47" t="s">
        <v>33</v>
      </c>
      <c r="C11" s="47" t="s">
        <v>34</v>
      </c>
      <c r="D11" s="42" t="s">
        <v>7</v>
      </c>
      <c r="E11" s="47" t="s">
        <v>35</v>
      </c>
    </row>
    <row r="12" spans="1:5">
      <c r="A12" s="48">
        <v>11</v>
      </c>
      <c r="B12" s="49" t="s">
        <v>36</v>
      </c>
      <c r="C12" s="49" t="s">
        <v>37</v>
      </c>
      <c r="D12" s="49" t="s">
        <v>36</v>
      </c>
      <c r="E12" s="49" t="s">
        <v>38</v>
      </c>
    </row>
    <row r="13" spans="1:5">
      <c r="A13" s="48">
        <v>12</v>
      </c>
      <c r="B13" s="49" t="s">
        <v>39</v>
      </c>
      <c r="C13" s="49" t="s">
        <v>40</v>
      </c>
      <c r="D13" s="49" t="s">
        <v>41</v>
      </c>
      <c r="E13" s="49" t="s">
        <v>42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2"/>
  <sheetViews>
    <sheetView zoomScale="80" zoomScaleNormal="80" zoomScaleSheetLayoutView="40" workbookViewId="0">
      <selection activeCell="C21" sqref="C21"/>
    </sheetView>
    <sheetView workbookViewId="1">
      <selection activeCell="B29" sqref="B29"/>
    </sheetView>
  </sheetViews>
  <sheetFormatPr defaultColWidth="28.28515625" defaultRowHeight="15"/>
  <cols>
    <col min="1" max="1" width="22.28515625" customWidth="1"/>
    <col min="2" max="2" width="38.5703125" customWidth="1"/>
    <col min="3" max="3" width="16.5703125" customWidth="1"/>
    <col min="4" max="4" width="18.28515625" customWidth="1"/>
    <col min="5" max="5" width="25.7109375" customWidth="1"/>
    <col min="6" max="6" width="15.5703125" customWidth="1"/>
    <col min="7" max="7" width="15.28515625" customWidth="1"/>
    <col min="8" max="8" width="32.7109375" customWidth="1"/>
  </cols>
  <sheetData>
    <row r="1" spans="1:8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</row>
    <row r="2" spans="1:8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36" t="s">
        <v>58</v>
      </c>
    </row>
    <row r="3" spans="1:8">
      <c r="A3" s="4" t="s">
        <v>51</v>
      </c>
      <c r="B3" s="4" t="s">
        <v>52</v>
      </c>
      <c r="C3" s="4" t="s">
        <v>59</v>
      </c>
      <c r="D3" s="4" t="s">
        <v>60</v>
      </c>
      <c r="E3" s="4" t="s">
        <v>61</v>
      </c>
      <c r="F3" s="4" t="s">
        <v>62</v>
      </c>
      <c r="G3" s="4" t="s">
        <v>63</v>
      </c>
      <c r="H3" s="36" t="s">
        <v>64</v>
      </c>
    </row>
    <row r="4" spans="1:8">
      <c r="A4" s="4" t="s">
        <v>65</v>
      </c>
      <c r="B4" s="4" t="s">
        <v>66</v>
      </c>
      <c r="C4" s="4" t="s">
        <v>67</v>
      </c>
      <c r="D4" s="4" t="s">
        <v>68</v>
      </c>
      <c r="E4" s="4" t="s">
        <v>36</v>
      </c>
      <c r="F4" s="4" t="s">
        <v>69</v>
      </c>
      <c r="G4" s="4" t="s">
        <v>70</v>
      </c>
      <c r="H4" s="36" t="s">
        <v>71</v>
      </c>
    </row>
    <row r="5" spans="1:8">
      <c r="A5" s="4" t="s">
        <v>65</v>
      </c>
      <c r="B5" s="4" t="s">
        <v>66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36" t="s">
        <v>77</v>
      </c>
    </row>
    <row r="6" spans="1:8">
      <c r="A6" s="4" t="s">
        <v>65</v>
      </c>
      <c r="B6" s="4" t="s">
        <v>66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36" t="s">
        <v>83</v>
      </c>
    </row>
    <row r="7" spans="1:8">
      <c r="A7" s="4" t="s">
        <v>84</v>
      </c>
      <c r="B7" s="4" t="s">
        <v>85</v>
      </c>
      <c r="C7" s="4" t="s">
        <v>86</v>
      </c>
      <c r="D7" s="4" t="s">
        <v>79</v>
      </c>
      <c r="E7" s="4" t="s">
        <v>80</v>
      </c>
      <c r="F7" s="4" t="s">
        <v>87</v>
      </c>
      <c r="G7" s="4" t="s">
        <v>88</v>
      </c>
      <c r="H7" s="36" t="s">
        <v>89</v>
      </c>
    </row>
    <row r="8" spans="1:8">
      <c r="A8" s="4" t="s">
        <v>84</v>
      </c>
      <c r="B8" s="4" t="s">
        <v>85</v>
      </c>
      <c r="C8" s="4" t="s">
        <v>90</v>
      </c>
      <c r="D8" s="4" t="s">
        <v>91</v>
      </c>
      <c r="E8" s="4" t="s">
        <v>92</v>
      </c>
      <c r="F8" s="4" t="s">
        <v>93</v>
      </c>
      <c r="G8" s="4" t="s">
        <v>94</v>
      </c>
      <c r="H8" s="36" t="s">
        <v>95</v>
      </c>
    </row>
    <row r="9" spans="1:8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102</v>
      </c>
      <c r="H9" s="36" t="s">
        <v>103</v>
      </c>
    </row>
    <row r="10" spans="1:8">
      <c r="A10" s="4" t="s">
        <v>96</v>
      </c>
      <c r="B10" s="4" t="s">
        <v>97</v>
      </c>
      <c r="C10" s="4" t="s">
        <v>104</v>
      </c>
      <c r="D10" s="4" t="s">
        <v>105</v>
      </c>
      <c r="E10" s="4" t="s">
        <v>106</v>
      </c>
      <c r="F10" s="4" t="s">
        <v>107</v>
      </c>
      <c r="G10" s="4" t="s">
        <v>108</v>
      </c>
      <c r="H10" s="36" t="s">
        <v>109</v>
      </c>
    </row>
    <row r="11" spans="1:8">
      <c r="A11" s="4" t="s">
        <v>110</v>
      </c>
      <c r="B11" s="4" t="s">
        <v>111</v>
      </c>
      <c r="C11" s="4" t="s">
        <v>112</v>
      </c>
      <c r="D11" s="4" t="s">
        <v>113</v>
      </c>
      <c r="E11" s="4" t="s">
        <v>114</v>
      </c>
      <c r="F11" s="4" t="s">
        <v>115</v>
      </c>
      <c r="G11" s="4" t="s">
        <v>116</v>
      </c>
      <c r="H11" s="36" t="s">
        <v>117</v>
      </c>
    </row>
    <row r="12" spans="1:8">
      <c r="A12" s="4" t="s">
        <v>110</v>
      </c>
      <c r="B12" s="4" t="s">
        <v>111</v>
      </c>
      <c r="C12" s="4" t="s">
        <v>118</v>
      </c>
      <c r="D12" s="4" t="s">
        <v>119</v>
      </c>
      <c r="E12" s="4" t="s">
        <v>120</v>
      </c>
      <c r="F12" s="4" t="s">
        <v>121</v>
      </c>
      <c r="G12" s="4" t="s">
        <v>122</v>
      </c>
      <c r="H12" s="36" t="s">
        <v>123</v>
      </c>
    </row>
    <row r="13" spans="1:8">
      <c r="A13" s="4" t="s">
        <v>110</v>
      </c>
      <c r="B13" s="4" t="s">
        <v>111</v>
      </c>
      <c r="C13" s="4" t="s">
        <v>124</v>
      </c>
      <c r="D13" s="4" t="s">
        <v>54</v>
      </c>
      <c r="E13" s="4" t="s">
        <v>125</v>
      </c>
      <c r="F13" s="4" t="s">
        <v>126</v>
      </c>
      <c r="G13" s="4" t="s">
        <v>127</v>
      </c>
      <c r="H13" s="36" t="s">
        <v>128</v>
      </c>
    </row>
    <row r="14" spans="1:8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133</v>
      </c>
      <c r="F14" s="4" t="s">
        <v>134</v>
      </c>
      <c r="G14" s="4" t="s">
        <v>135</v>
      </c>
      <c r="H14" s="36" t="s">
        <v>136</v>
      </c>
    </row>
    <row r="15" spans="1:8">
      <c r="A15" s="4" t="s">
        <v>129</v>
      </c>
      <c r="B15" s="4" t="s">
        <v>130</v>
      </c>
      <c r="C15" s="4" t="s">
        <v>137</v>
      </c>
      <c r="D15" s="4" t="s">
        <v>138</v>
      </c>
      <c r="E15" s="4" t="s">
        <v>139</v>
      </c>
      <c r="F15" s="4" t="s">
        <v>140</v>
      </c>
      <c r="G15" s="4" t="s">
        <v>141</v>
      </c>
      <c r="H15" s="36" t="s">
        <v>142</v>
      </c>
    </row>
    <row r="16" spans="1:8">
      <c r="A16" s="4" t="s">
        <v>143</v>
      </c>
      <c r="B16" s="4" t="s">
        <v>144</v>
      </c>
      <c r="C16" s="4" t="s">
        <v>145</v>
      </c>
      <c r="D16" s="4" t="s">
        <v>79</v>
      </c>
      <c r="E16" s="4" t="s">
        <v>80</v>
      </c>
      <c r="F16" s="4" t="s">
        <v>146</v>
      </c>
      <c r="G16" s="4" t="s">
        <v>147</v>
      </c>
      <c r="H16" s="36" t="s">
        <v>148</v>
      </c>
    </row>
    <row r="17" spans="1:8">
      <c r="A17" s="4" t="s">
        <v>143</v>
      </c>
      <c r="B17" s="4" t="s">
        <v>144</v>
      </c>
      <c r="C17" s="4" t="s">
        <v>149</v>
      </c>
      <c r="D17" s="4" t="s">
        <v>150</v>
      </c>
      <c r="E17" s="4" t="s">
        <v>151</v>
      </c>
      <c r="F17" s="4" t="s">
        <v>152</v>
      </c>
      <c r="G17" s="4" t="s">
        <v>153</v>
      </c>
      <c r="H17" s="36" t="s">
        <v>154</v>
      </c>
    </row>
    <row r="18" spans="1:8">
      <c r="A18" s="4" t="s">
        <v>143</v>
      </c>
      <c r="B18" s="4" t="s">
        <v>144</v>
      </c>
      <c r="C18" s="4" t="s">
        <v>155</v>
      </c>
      <c r="D18" s="4" t="s">
        <v>156</v>
      </c>
      <c r="E18" s="4" t="s">
        <v>157</v>
      </c>
      <c r="F18" s="4" t="s">
        <v>158</v>
      </c>
      <c r="G18" s="4" t="s">
        <v>159</v>
      </c>
      <c r="H18" s="36" t="s">
        <v>160</v>
      </c>
    </row>
    <row r="19" spans="1:8">
      <c r="A19" s="4" t="s">
        <v>161</v>
      </c>
      <c r="B19" s="4" t="s">
        <v>162</v>
      </c>
      <c r="C19" s="4" t="s">
        <v>163</v>
      </c>
      <c r="D19" s="4" t="s">
        <v>164</v>
      </c>
      <c r="E19" s="4" t="s">
        <v>165</v>
      </c>
      <c r="F19" s="4" t="s">
        <v>166</v>
      </c>
      <c r="G19" s="4" t="s">
        <v>167</v>
      </c>
      <c r="H19" s="36" t="s">
        <v>168</v>
      </c>
    </row>
    <row r="20" spans="1:8">
      <c r="A20" s="4" t="s">
        <v>161</v>
      </c>
      <c r="B20" s="4" t="s">
        <v>162</v>
      </c>
      <c r="C20" s="4" t="s">
        <v>169</v>
      </c>
      <c r="D20" s="4" t="s">
        <v>79</v>
      </c>
      <c r="E20" s="4" t="s">
        <v>80</v>
      </c>
      <c r="F20" s="4" t="s">
        <v>170</v>
      </c>
      <c r="G20" s="4" t="s">
        <v>171</v>
      </c>
      <c r="H20" s="36" t="s">
        <v>172</v>
      </c>
    </row>
    <row r="21" spans="1:8">
      <c r="A21" s="4" t="s">
        <v>173</v>
      </c>
      <c r="B21" s="4" t="s">
        <v>174</v>
      </c>
      <c r="C21" s="4" t="s">
        <v>175</v>
      </c>
      <c r="D21" s="4" t="s">
        <v>176</v>
      </c>
      <c r="E21" s="4" t="s">
        <v>177</v>
      </c>
      <c r="F21" s="4" t="s">
        <v>178</v>
      </c>
      <c r="G21" s="4" t="s">
        <v>102</v>
      </c>
      <c r="H21" s="36" t="s">
        <v>179</v>
      </c>
    </row>
    <row r="22" spans="1:8">
      <c r="A22" s="4" t="s">
        <v>173</v>
      </c>
      <c r="B22" s="4" t="s">
        <v>174</v>
      </c>
      <c r="C22" s="4" t="s">
        <v>180</v>
      </c>
      <c r="D22" s="4" t="s">
        <v>181</v>
      </c>
      <c r="E22" s="4" t="s">
        <v>182</v>
      </c>
      <c r="F22" s="4" t="s">
        <v>183</v>
      </c>
      <c r="G22" s="4" t="s">
        <v>108</v>
      </c>
      <c r="H22" s="36" t="s">
        <v>184</v>
      </c>
    </row>
    <row r="23" spans="1:8">
      <c r="A23" s="4" t="s">
        <v>185</v>
      </c>
      <c r="B23" s="4" t="s">
        <v>186</v>
      </c>
      <c r="C23" s="4" t="s">
        <v>187</v>
      </c>
      <c r="D23" s="4" t="s">
        <v>79</v>
      </c>
      <c r="E23" s="4" t="s">
        <v>80</v>
      </c>
      <c r="F23" s="4" t="s">
        <v>188</v>
      </c>
      <c r="G23" s="4" t="s">
        <v>116</v>
      </c>
      <c r="H23" s="36" t="s">
        <v>189</v>
      </c>
    </row>
    <row r="24" spans="1:8">
      <c r="A24" s="4" t="s">
        <v>185</v>
      </c>
      <c r="B24" s="4" t="s">
        <v>186</v>
      </c>
      <c r="C24" s="4" t="s">
        <v>190</v>
      </c>
      <c r="D24" s="4" t="s">
        <v>191</v>
      </c>
      <c r="E24" s="4" t="s">
        <v>192</v>
      </c>
      <c r="F24" s="4" t="s">
        <v>193</v>
      </c>
      <c r="G24" s="4" t="s">
        <v>122</v>
      </c>
      <c r="H24" s="36" t="s">
        <v>194</v>
      </c>
    </row>
    <row r="25" spans="1:8">
      <c r="A25" s="4" t="s">
        <v>185</v>
      </c>
      <c r="B25" s="4" t="s">
        <v>186</v>
      </c>
      <c r="C25" s="4" t="s">
        <v>195</v>
      </c>
      <c r="D25" s="4" t="s">
        <v>196</v>
      </c>
      <c r="E25" s="4" t="s">
        <v>197</v>
      </c>
      <c r="F25" s="4" t="s">
        <v>198</v>
      </c>
      <c r="G25" s="4" t="s">
        <v>127</v>
      </c>
      <c r="H25" s="36" t="s">
        <v>199</v>
      </c>
    </row>
    <row r="26" spans="1:8">
      <c r="A26" s="4" t="s">
        <v>200</v>
      </c>
      <c r="B26" s="4" t="s">
        <v>201</v>
      </c>
      <c r="C26" s="4" t="s">
        <v>202</v>
      </c>
      <c r="D26" s="4" t="s">
        <v>203</v>
      </c>
      <c r="E26" s="4" t="s">
        <v>204</v>
      </c>
      <c r="F26" s="4" t="s">
        <v>205</v>
      </c>
      <c r="G26" s="4" t="s">
        <v>135</v>
      </c>
      <c r="H26" s="36" t="s">
        <v>206</v>
      </c>
    </row>
    <row r="27" spans="1:8">
      <c r="A27" s="4" t="s">
        <v>200</v>
      </c>
      <c r="B27" s="4" t="s">
        <v>201</v>
      </c>
      <c r="C27" s="4" t="s">
        <v>207</v>
      </c>
      <c r="D27" s="4" t="s">
        <v>79</v>
      </c>
      <c r="E27" s="4" t="s">
        <v>80</v>
      </c>
      <c r="F27" s="4" t="s">
        <v>208</v>
      </c>
      <c r="G27" s="4" t="s">
        <v>141</v>
      </c>
      <c r="H27" s="36" t="s">
        <v>209</v>
      </c>
    </row>
    <row r="28" spans="1:8">
      <c r="A28" s="4" t="s">
        <v>210</v>
      </c>
      <c r="B28" s="4" t="s">
        <v>211</v>
      </c>
      <c r="C28" s="4" t="s">
        <v>212</v>
      </c>
      <c r="D28" s="4" t="s">
        <v>213</v>
      </c>
      <c r="E28" s="4" t="s">
        <v>214</v>
      </c>
      <c r="F28" s="4" t="s">
        <v>215</v>
      </c>
      <c r="G28" s="4" t="s">
        <v>147</v>
      </c>
      <c r="H28" s="36" t="s">
        <v>216</v>
      </c>
    </row>
    <row r="29" spans="1:8">
      <c r="A29" s="4" t="s">
        <v>210</v>
      </c>
      <c r="B29" s="4" t="s">
        <v>211</v>
      </c>
      <c r="C29" s="4" t="s">
        <v>217</v>
      </c>
      <c r="D29" s="4" t="s">
        <v>176</v>
      </c>
      <c r="E29" s="4" t="s">
        <v>177</v>
      </c>
      <c r="F29" s="4" t="s">
        <v>218</v>
      </c>
      <c r="G29" s="4" t="s">
        <v>153</v>
      </c>
      <c r="H29" s="36" t="s">
        <v>219</v>
      </c>
    </row>
    <row r="30" spans="1:8">
      <c r="A30" s="4" t="s">
        <v>220</v>
      </c>
      <c r="B30" s="4" t="s">
        <v>221</v>
      </c>
      <c r="C30" s="4" t="s">
        <v>222</v>
      </c>
      <c r="D30" s="4" t="s">
        <v>119</v>
      </c>
      <c r="E30" s="4" t="s">
        <v>120</v>
      </c>
      <c r="F30" s="4" t="s">
        <v>223</v>
      </c>
      <c r="G30" s="4" t="s">
        <v>167</v>
      </c>
      <c r="H30" s="36" t="s">
        <v>224</v>
      </c>
    </row>
    <row r="31" spans="1:8">
      <c r="A31" s="4" t="s">
        <v>220</v>
      </c>
      <c r="B31" s="4" t="s">
        <v>221</v>
      </c>
      <c r="C31" s="4" t="s">
        <v>225</v>
      </c>
      <c r="D31" s="4" t="s">
        <v>226</v>
      </c>
      <c r="E31" s="4" t="s">
        <v>227</v>
      </c>
      <c r="F31" s="4" t="s">
        <v>228</v>
      </c>
      <c r="G31" s="4" t="s">
        <v>171</v>
      </c>
      <c r="H31" s="36" t="s">
        <v>229</v>
      </c>
    </row>
    <row r="32" spans="1:8">
      <c r="A32" s="4" t="s">
        <v>220</v>
      </c>
      <c r="B32" s="4" t="s">
        <v>221</v>
      </c>
      <c r="C32" s="4" t="s">
        <v>230</v>
      </c>
      <c r="D32" s="4" t="s">
        <v>231</v>
      </c>
      <c r="E32" s="4" t="s">
        <v>232</v>
      </c>
      <c r="F32" s="4" t="s">
        <v>233</v>
      </c>
      <c r="G32" s="4" t="s">
        <v>234</v>
      </c>
      <c r="H32" s="36" t="s">
        <v>235</v>
      </c>
    </row>
    <row r="33" spans="1:8">
      <c r="A33" s="4" t="s">
        <v>236</v>
      </c>
      <c r="B33" s="4" t="s">
        <v>237</v>
      </c>
      <c r="C33" s="4" t="s">
        <v>238</v>
      </c>
      <c r="D33" s="4" t="s">
        <v>239</v>
      </c>
      <c r="E33" s="4" t="s">
        <v>240</v>
      </c>
      <c r="F33" s="4" t="s">
        <v>241</v>
      </c>
      <c r="G33" s="4" t="s">
        <v>102</v>
      </c>
      <c r="H33" s="36" t="s">
        <v>242</v>
      </c>
    </row>
    <row r="34" spans="1:8">
      <c r="A34" s="4" t="s">
        <v>236</v>
      </c>
      <c r="B34" s="4" t="s">
        <v>237</v>
      </c>
      <c r="C34" s="4" t="s">
        <v>243</v>
      </c>
      <c r="D34" s="4" t="s">
        <v>119</v>
      </c>
      <c r="E34" s="4" t="s">
        <v>120</v>
      </c>
      <c r="F34" s="4" t="s">
        <v>244</v>
      </c>
      <c r="G34" s="4" t="s">
        <v>108</v>
      </c>
      <c r="H34" s="36" t="s">
        <v>245</v>
      </c>
    </row>
    <row r="35" spans="1:8">
      <c r="A35" s="4" t="s">
        <v>246</v>
      </c>
      <c r="B35" s="4" t="s">
        <v>247</v>
      </c>
      <c r="C35" s="4" t="s">
        <v>248</v>
      </c>
      <c r="D35" s="4" t="s">
        <v>176</v>
      </c>
      <c r="E35" s="4" t="s">
        <v>177</v>
      </c>
      <c r="F35" s="4" t="s">
        <v>249</v>
      </c>
      <c r="G35" s="4" t="s">
        <v>116</v>
      </c>
      <c r="H35" s="36" t="s">
        <v>250</v>
      </c>
    </row>
    <row r="36" spans="1:8">
      <c r="A36" s="4" t="s">
        <v>251</v>
      </c>
      <c r="B36" s="4" t="s">
        <v>252</v>
      </c>
      <c r="C36" s="4" t="s">
        <v>253</v>
      </c>
      <c r="D36" s="4" t="s">
        <v>254</v>
      </c>
      <c r="E36" s="4" t="s">
        <v>255</v>
      </c>
      <c r="F36" s="4" t="s">
        <v>256</v>
      </c>
      <c r="G36" s="4" t="s">
        <v>135</v>
      </c>
      <c r="H36" s="36" t="s">
        <v>257</v>
      </c>
    </row>
    <row r="37" spans="1:8">
      <c r="A37" s="4" t="s">
        <v>251</v>
      </c>
      <c r="B37" s="4" t="s">
        <v>252</v>
      </c>
      <c r="C37" s="4" t="s">
        <v>258</v>
      </c>
      <c r="D37" s="4" t="s">
        <v>176</v>
      </c>
      <c r="E37" s="4" t="s">
        <v>177</v>
      </c>
      <c r="F37" s="4" t="s">
        <v>259</v>
      </c>
      <c r="G37" s="4" t="s">
        <v>141</v>
      </c>
      <c r="H37" s="36" t="s">
        <v>260</v>
      </c>
    </row>
    <row r="38" spans="1:8">
      <c r="A38" s="4" t="s">
        <v>251</v>
      </c>
      <c r="B38" s="4" t="s">
        <v>252</v>
      </c>
      <c r="C38" s="4" t="s">
        <v>261</v>
      </c>
      <c r="D38" s="4" t="s">
        <v>262</v>
      </c>
      <c r="E38" s="4" t="s">
        <v>263</v>
      </c>
      <c r="F38" s="4" t="s">
        <v>264</v>
      </c>
      <c r="G38" s="4" t="s">
        <v>265</v>
      </c>
      <c r="H38" s="36" t="s">
        <v>266</v>
      </c>
    </row>
    <row r="39" spans="1:8">
      <c r="A39" s="4" t="s">
        <v>267</v>
      </c>
      <c r="B39" s="4" t="s">
        <v>268</v>
      </c>
      <c r="C39" s="4" t="s">
        <v>269</v>
      </c>
      <c r="D39" s="4" t="s">
        <v>270</v>
      </c>
      <c r="E39" s="4" t="s">
        <v>165</v>
      </c>
      <c r="F39" s="4" t="s">
        <v>271</v>
      </c>
      <c r="G39" s="4" t="s">
        <v>147</v>
      </c>
      <c r="H39" s="36" t="s">
        <v>272</v>
      </c>
    </row>
    <row r="40" spans="1:8">
      <c r="A40" s="4" t="s">
        <v>267</v>
      </c>
      <c r="B40" s="4" t="s">
        <v>268</v>
      </c>
      <c r="C40" s="4" t="s">
        <v>273</v>
      </c>
      <c r="D40" s="4" t="s">
        <v>176</v>
      </c>
      <c r="E40" s="4" t="s">
        <v>177</v>
      </c>
      <c r="F40" s="4" t="s">
        <v>274</v>
      </c>
      <c r="G40" s="4" t="s">
        <v>153</v>
      </c>
      <c r="H40" s="36" t="s">
        <v>275</v>
      </c>
    </row>
    <row r="41" spans="1:8">
      <c r="A41" s="3" t="s">
        <v>276</v>
      </c>
      <c r="B41" s="3" t="s">
        <v>277</v>
      </c>
      <c r="C41" s="3" t="s">
        <v>278</v>
      </c>
      <c r="D41" s="3" t="s">
        <v>176</v>
      </c>
      <c r="E41" s="3" t="s">
        <v>177</v>
      </c>
      <c r="F41" s="3" t="s">
        <v>279</v>
      </c>
      <c r="G41" s="3" t="s">
        <v>167</v>
      </c>
      <c r="H41" s="37" t="s">
        <v>280</v>
      </c>
    </row>
    <row r="42" spans="1:8">
      <c r="A42" s="3" t="s">
        <v>276</v>
      </c>
      <c r="B42" s="3" t="s">
        <v>277</v>
      </c>
      <c r="C42" s="3" t="s">
        <v>281</v>
      </c>
      <c r="D42" s="3" t="s">
        <v>282</v>
      </c>
      <c r="E42" s="3" t="s">
        <v>283</v>
      </c>
      <c r="F42" s="3" t="s">
        <v>284</v>
      </c>
      <c r="G42" s="3" t="s">
        <v>171</v>
      </c>
      <c r="H42" s="37" t="s">
        <v>285</v>
      </c>
    </row>
    <row r="43" spans="1:8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290</v>
      </c>
      <c r="F43" s="3" t="s">
        <v>291</v>
      </c>
      <c r="G43" s="3" t="s">
        <v>102</v>
      </c>
      <c r="H43" s="37" t="s">
        <v>292</v>
      </c>
    </row>
    <row r="44" spans="1:8">
      <c r="A44" s="3" t="s">
        <v>286</v>
      </c>
      <c r="B44" s="3" t="s">
        <v>287</v>
      </c>
      <c r="C44" s="3" t="s">
        <v>293</v>
      </c>
      <c r="D44" s="3" t="s">
        <v>294</v>
      </c>
      <c r="E44" s="3" t="s">
        <v>295</v>
      </c>
      <c r="F44" s="3" t="s">
        <v>296</v>
      </c>
      <c r="G44" s="3" t="s">
        <v>108</v>
      </c>
      <c r="H44" s="37" t="s">
        <v>297</v>
      </c>
    </row>
    <row r="45" spans="1:8">
      <c r="A45" s="3" t="s">
        <v>286</v>
      </c>
      <c r="B45" s="3" t="s">
        <v>287</v>
      </c>
      <c r="C45" s="3" t="s">
        <v>298</v>
      </c>
      <c r="D45" s="3" t="s">
        <v>79</v>
      </c>
      <c r="E45" s="3" t="s">
        <v>80</v>
      </c>
      <c r="F45" s="3" t="s">
        <v>299</v>
      </c>
      <c r="G45" s="3" t="s">
        <v>300</v>
      </c>
      <c r="H45" s="37" t="s">
        <v>301</v>
      </c>
    </row>
    <row r="46" spans="1:8">
      <c r="A46" s="3" t="s">
        <v>302</v>
      </c>
      <c r="B46" s="3" t="s">
        <v>303</v>
      </c>
      <c r="C46" s="3" t="s">
        <v>304</v>
      </c>
      <c r="D46" s="3" t="s">
        <v>305</v>
      </c>
      <c r="E46" s="3" t="s">
        <v>306</v>
      </c>
      <c r="F46" s="3" t="s">
        <v>307</v>
      </c>
      <c r="G46" s="3" t="s">
        <v>116</v>
      </c>
      <c r="H46" s="37" t="s">
        <v>308</v>
      </c>
    </row>
    <row r="47" spans="1:8">
      <c r="A47" s="3" t="s">
        <v>302</v>
      </c>
      <c r="B47" s="3" t="s">
        <v>303</v>
      </c>
      <c r="C47" s="3" t="s">
        <v>309</v>
      </c>
      <c r="D47" s="3" t="s">
        <v>79</v>
      </c>
      <c r="E47" s="3" t="s">
        <v>310</v>
      </c>
      <c r="F47" s="3" t="s">
        <v>311</v>
      </c>
      <c r="G47" s="3" t="s">
        <v>122</v>
      </c>
      <c r="H47" s="37" t="s">
        <v>312</v>
      </c>
    </row>
    <row r="48" spans="1:8">
      <c r="A48" s="3" t="s">
        <v>313</v>
      </c>
      <c r="B48" s="3" t="s">
        <v>314</v>
      </c>
      <c r="C48" s="3" t="s">
        <v>124</v>
      </c>
      <c r="D48" s="3" t="s">
        <v>119</v>
      </c>
      <c r="E48" s="3" t="s">
        <v>120</v>
      </c>
      <c r="F48" s="3" t="s">
        <v>315</v>
      </c>
      <c r="G48" s="3" t="s">
        <v>135</v>
      </c>
      <c r="H48" s="37" t="s">
        <v>316</v>
      </c>
    </row>
    <row r="49" spans="1:8">
      <c r="A49" s="3" t="s">
        <v>313</v>
      </c>
      <c r="B49" s="3" t="s">
        <v>314</v>
      </c>
      <c r="C49" s="3" t="s">
        <v>317</v>
      </c>
      <c r="D49" s="3" t="s">
        <v>318</v>
      </c>
      <c r="E49" s="3" t="s">
        <v>319</v>
      </c>
      <c r="F49" s="3" t="s">
        <v>320</v>
      </c>
      <c r="G49" s="3" t="s">
        <v>141</v>
      </c>
      <c r="H49" s="37" t="s">
        <v>321</v>
      </c>
    </row>
    <row r="50" spans="1:8">
      <c r="A50" s="3" t="s">
        <v>322</v>
      </c>
      <c r="B50" s="3" t="s">
        <v>323</v>
      </c>
      <c r="C50" s="3" t="s">
        <v>324</v>
      </c>
      <c r="D50" s="3" t="s">
        <v>79</v>
      </c>
      <c r="E50" s="3" t="s">
        <v>310</v>
      </c>
      <c r="F50" s="3" t="s">
        <v>325</v>
      </c>
      <c r="G50" s="3" t="s">
        <v>147</v>
      </c>
      <c r="H50" s="37" t="s">
        <v>326</v>
      </c>
    </row>
    <row r="51" spans="1:8">
      <c r="A51" s="3" t="s">
        <v>327</v>
      </c>
      <c r="B51" s="3" t="s">
        <v>328</v>
      </c>
      <c r="C51" s="3" t="s">
        <v>329</v>
      </c>
      <c r="D51" s="3" t="s">
        <v>330</v>
      </c>
      <c r="E51" s="3" t="s">
        <v>39</v>
      </c>
      <c r="F51" s="3" t="s">
        <v>331</v>
      </c>
      <c r="G51" s="3" t="s">
        <v>167</v>
      </c>
      <c r="H51" s="37" t="s">
        <v>332</v>
      </c>
    </row>
    <row r="52" spans="1:8">
      <c r="A52" s="3" t="s">
        <v>327</v>
      </c>
      <c r="B52" s="3" t="s">
        <v>328</v>
      </c>
      <c r="C52" s="3" t="s">
        <v>333</v>
      </c>
      <c r="D52" s="3" t="s">
        <v>79</v>
      </c>
      <c r="E52" s="3" t="s">
        <v>310</v>
      </c>
      <c r="F52" s="3" t="s">
        <v>334</v>
      </c>
      <c r="G52" s="3" t="s">
        <v>171</v>
      </c>
      <c r="H52" s="37" t="s">
        <v>335</v>
      </c>
    </row>
    <row r="53" spans="1:8">
      <c r="A53" s="3" t="s">
        <v>336</v>
      </c>
      <c r="B53" s="3" t="s">
        <v>337</v>
      </c>
      <c r="C53" s="3" t="s">
        <v>338</v>
      </c>
      <c r="D53" s="3" t="s">
        <v>339</v>
      </c>
      <c r="E53" s="3" t="s">
        <v>340</v>
      </c>
      <c r="F53" s="3" t="s">
        <v>341</v>
      </c>
      <c r="G53" s="3" t="s">
        <v>102</v>
      </c>
      <c r="H53" s="37" t="s">
        <v>342</v>
      </c>
    </row>
    <row r="54" spans="1:8">
      <c r="A54" s="3" t="s">
        <v>336</v>
      </c>
      <c r="B54" s="3" t="s">
        <v>337</v>
      </c>
      <c r="C54" s="3" t="s">
        <v>343</v>
      </c>
      <c r="D54" s="3" t="s">
        <v>79</v>
      </c>
      <c r="E54" s="3" t="s">
        <v>310</v>
      </c>
      <c r="F54" s="3" t="s">
        <v>344</v>
      </c>
      <c r="G54" s="3" t="s">
        <v>108</v>
      </c>
      <c r="H54" s="37" t="s">
        <v>345</v>
      </c>
    </row>
    <row r="55" spans="1:8">
      <c r="A55" s="3" t="s">
        <v>346</v>
      </c>
      <c r="B55" s="3" t="s">
        <v>347</v>
      </c>
      <c r="C55" s="3" t="s">
        <v>348</v>
      </c>
      <c r="D55" s="3" t="s">
        <v>176</v>
      </c>
      <c r="E55" s="3" t="s">
        <v>177</v>
      </c>
      <c r="F55" s="3" t="s">
        <v>349</v>
      </c>
      <c r="G55" s="3" t="s">
        <v>116</v>
      </c>
      <c r="H55" s="37" t="s">
        <v>350</v>
      </c>
    </row>
    <row r="56" spans="1:8">
      <c r="A56" s="3" t="s">
        <v>351</v>
      </c>
      <c r="B56" s="3" t="s">
        <v>352</v>
      </c>
      <c r="C56" s="3" t="s">
        <v>353</v>
      </c>
      <c r="D56" s="3" t="s">
        <v>354</v>
      </c>
      <c r="E56" s="3" t="s">
        <v>355</v>
      </c>
      <c r="F56" s="3" t="s">
        <v>356</v>
      </c>
      <c r="G56" s="3" t="s">
        <v>135</v>
      </c>
      <c r="H56" s="37" t="s">
        <v>357</v>
      </c>
    </row>
    <row r="57" spans="1:8">
      <c r="A57" s="3" t="s">
        <v>351</v>
      </c>
      <c r="B57" s="3" t="s">
        <v>352</v>
      </c>
      <c r="C57" s="3" t="s">
        <v>358</v>
      </c>
      <c r="D57" s="3" t="s">
        <v>176</v>
      </c>
      <c r="E57" s="3" t="s">
        <v>177</v>
      </c>
      <c r="F57" s="3" t="s">
        <v>359</v>
      </c>
      <c r="G57" s="3" t="s">
        <v>141</v>
      </c>
      <c r="H57" s="37" t="s">
        <v>360</v>
      </c>
    </row>
    <row r="58" spans="1:8">
      <c r="A58" s="3" t="s">
        <v>361</v>
      </c>
      <c r="B58" s="3" t="s">
        <v>362</v>
      </c>
      <c r="C58" s="3" t="s">
        <v>363</v>
      </c>
      <c r="D58" s="3" t="s">
        <v>364</v>
      </c>
      <c r="E58" s="3" t="s">
        <v>365</v>
      </c>
      <c r="F58" s="3" t="s">
        <v>366</v>
      </c>
      <c r="G58" s="3" t="s">
        <v>147</v>
      </c>
      <c r="H58" s="37" t="s">
        <v>367</v>
      </c>
    </row>
    <row r="59" spans="1:8">
      <c r="A59" s="3" t="s">
        <v>361</v>
      </c>
      <c r="B59" s="3" t="s">
        <v>362</v>
      </c>
      <c r="C59" s="3" t="s">
        <v>368</v>
      </c>
      <c r="D59" s="3" t="s">
        <v>176</v>
      </c>
      <c r="E59" s="3" t="s">
        <v>177</v>
      </c>
      <c r="F59" s="3" t="s">
        <v>369</v>
      </c>
      <c r="G59" s="3" t="s">
        <v>153</v>
      </c>
      <c r="H59" s="37" t="s">
        <v>370</v>
      </c>
    </row>
    <row r="60" spans="1:8">
      <c r="A60" s="3" t="s">
        <v>371</v>
      </c>
      <c r="B60" s="3" t="s">
        <v>372</v>
      </c>
      <c r="C60" s="3" t="s">
        <v>373</v>
      </c>
      <c r="D60" s="3" t="s">
        <v>79</v>
      </c>
      <c r="E60" s="3" t="s">
        <v>310</v>
      </c>
      <c r="F60" s="3" t="s">
        <v>374</v>
      </c>
      <c r="G60" s="3" t="s">
        <v>167</v>
      </c>
      <c r="H60" s="37" t="s">
        <v>375</v>
      </c>
    </row>
    <row r="61" spans="1:8">
      <c r="A61" s="3" t="s">
        <v>376</v>
      </c>
      <c r="B61" s="3" t="s">
        <v>377</v>
      </c>
      <c r="C61" s="3" t="s">
        <v>378</v>
      </c>
      <c r="D61" s="3" t="s">
        <v>54</v>
      </c>
      <c r="E61" s="3" t="s">
        <v>55</v>
      </c>
      <c r="F61" s="3" t="s">
        <v>379</v>
      </c>
      <c r="G61" s="3" t="s">
        <v>102</v>
      </c>
      <c r="H61" s="37" t="s">
        <v>380</v>
      </c>
    </row>
    <row r="62" spans="1:8">
      <c r="A62" s="3" t="s">
        <v>376</v>
      </c>
      <c r="B62" s="3" t="s">
        <v>377</v>
      </c>
      <c r="C62" s="3" t="s">
        <v>381</v>
      </c>
      <c r="D62" s="3" t="s">
        <v>60</v>
      </c>
      <c r="E62" s="3" t="s">
        <v>382</v>
      </c>
      <c r="F62" s="3" t="s">
        <v>383</v>
      </c>
      <c r="G62" s="3" t="s">
        <v>108</v>
      </c>
      <c r="H62" s="37" t="s">
        <v>384</v>
      </c>
    </row>
    <row r="63" spans="1:8">
      <c r="A63" s="3" t="s">
        <v>385</v>
      </c>
      <c r="B63" s="3" t="s">
        <v>386</v>
      </c>
      <c r="C63" s="3" t="s">
        <v>387</v>
      </c>
      <c r="D63" s="3" t="s">
        <v>91</v>
      </c>
      <c r="E63" s="3" t="s">
        <v>388</v>
      </c>
      <c r="F63" s="3" t="s">
        <v>389</v>
      </c>
      <c r="G63" s="3" t="s">
        <v>116</v>
      </c>
      <c r="H63" s="37" t="s">
        <v>390</v>
      </c>
    </row>
    <row r="64" spans="1:8">
      <c r="A64" s="3" t="s">
        <v>385</v>
      </c>
      <c r="B64" s="3" t="s">
        <v>386</v>
      </c>
      <c r="C64" s="3" t="s">
        <v>391</v>
      </c>
      <c r="D64" s="3" t="s">
        <v>176</v>
      </c>
      <c r="E64" s="3" t="s">
        <v>177</v>
      </c>
      <c r="F64" s="3" t="s">
        <v>392</v>
      </c>
      <c r="G64" s="3" t="s">
        <v>122</v>
      </c>
      <c r="H64" s="37" t="s">
        <v>393</v>
      </c>
    </row>
    <row r="65" spans="1:8">
      <c r="A65" s="3" t="s">
        <v>394</v>
      </c>
      <c r="B65" s="3" t="s">
        <v>395</v>
      </c>
      <c r="C65" s="3" t="s">
        <v>396</v>
      </c>
      <c r="D65" s="3" t="s">
        <v>79</v>
      </c>
      <c r="E65" s="3" t="s">
        <v>310</v>
      </c>
      <c r="F65" s="3" t="s">
        <v>397</v>
      </c>
      <c r="G65" s="3" t="s">
        <v>135</v>
      </c>
      <c r="H65" s="37" t="s">
        <v>398</v>
      </c>
    </row>
    <row r="66" spans="1:8">
      <c r="A66" s="3" t="s">
        <v>399</v>
      </c>
      <c r="B66" s="3" t="s">
        <v>400</v>
      </c>
      <c r="C66" s="3" t="s">
        <v>401</v>
      </c>
      <c r="D66" s="3" t="s">
        <v>176</v>
      </c>
      <c r="E66" s="3" t="s">
        <v>177</v>
      </c>
      <c r="F66" s="3" t="s">
        <v>402</v>
      </c>
      <c r="G66" s="3" t="s">
        <v>147</v>
      </c>
      <c r="H66" s="37" t="s">
        <v>403</v>
      </c>
    </row>
    <row r="67" spans="1:8">
      <c r="A67" s="3" t="s">
        <v>404</v>
      </c>
      <c r="B67" s="3" t="s">
        <v>405</v>
      </c>
      <c r="C67" s="3" t="s">
        <v>406</v>
      </c>
      <c r="D67" s="3" t="s">
        <v>79</v>
      </c>
      <c r="E67" s="3" t="s">
        <v>310</v>
      </c>
      <c r="F67" s="3" t="s">
        <v>407</v>
      </c>
      <c r="G67" s="3" t="s">
        <v>167</v>
      </c>
      <c r="H67" s="37" t="s">
        <v>408</v>
      </c>
    </row>
    <row r="68" spans="1:8">
      <c r="A68" s="3" t="s">
        <v>409</v>
      </c>
      <c r="B68" s="3" t="s">
        <v>410</v>
      </c>
      <c r="C68" s="3" t="s">
        <v>411</v>
      </c>
      <c r="D68" s="3" t="s">
        <v>79</v>
      </c>
      <c r="E68" s="3" t="s">
        <v>310</v>
      </c>
      <c r="F68" s="3" t="s">
        <v>412</v>
      </c>
      <c r="G68" s="3" t="s">
        <v>102</v>
      </c>
      <c r="H68" s="37" t="s">
        <v>413</v>
      </c>
    </row>
    <row r="69" spans="1:8">
      <c r="A69" s="5" t="s">
        <v>414</v>
      </c>
      <c r="B69" s="5" t="s">
        <v>415</v>
      </c>
      <c r="C69" s="5" t="s">
        <v>416</v>
      </c>
      <c r="D69" s="5" t="s">
        <v>99</v>
      </c>
      <c r="E69" s="5" t="s">
        <v>417</v>
      </c>
      <c r="F69" s="5" t="s">
        <v>418</v>
      </c>
      <c r="G69" s="5" t="s">
        <v>116</v>
      </c>
      <c r="H69" s="38" t="s">
        <v>419</v>
      </c>
    </row>
    <row r="70" spans="1:8">
      <c r="A70" s="5" t="s">
        <v>420</v>
      </c>
      <c r="B70" s="5" t="s">
        <v>421</v>
      </c>
      <c r="C70" s="5" t="s">
        <v>422</v>
      </c>
      <c r="D70" s="5" t="s">
        <v>176</v>
      </c>
      <c r="E70" s="5" t="s">
        <v>177</v>
      </c>
      <c r="F70" s="5" t="s">
        <v>423</v>
      </c>
      <c r="G70" s="5" t="s">
        <v>135</v>
      </c>
      <c r="H70" s="38" t="s">
        <v>424</v>
      </c>
    </row>
    <row r="71" spans="1:8">
      <c r="A71" s="5" t="s">
        <v>425</v>
      </c>
      <c r="B71" s="5" t="s">
        <v>426</v>
      </c>
      <c r="C71" s="5" t="s">
        <v>427</v>
      </c>
      <c r="D71" s="5" t="s">
        <v>79</v>
      </c>
      <c r="E71" s="5" t="s">
        <v>310</v>
      </c>
      <c r="F71" s="5" t="s">
        <v>428</v>
      </c>
      <c r="G71" s="5" t="s">
        <v>147</v>
      </c>
      <c r="H71" s="38" t="s">
        <v>429</v>
      </c>
    </row>
    <row r="72" spans="1:8">
      <c r="A72" s="5" t="s">
        <v>430</v>
      </c>
      <c r="B72" s="5" t="s">
        <v>431</v>
      </c>
      <c r="C72" s="5" t="s">
        <v>432</v>
      </c>
      <c r="D72" s="5" t="s">
        <v>433</v>
      </c>
      <c r="E72" s="5" t="s">
        <v>434</v>
      </c>
      <c r="F72" s="5" t="s">
        <v>435</v>
      </c>
      <c r="G72" s="5" t="s">
        <v>167</v>
      </c>
      <c r="H72" s="38" t="s">
        <v>436</v>
      </c>
    </row>
    <row r="73" spans="1:8">
      <c r="A73" s="5" t="s">
        <v>437</v>
      </c>
      <c r="B73" s="5" t="s">
        <v>438</v>
      </c>
      <c r="C73" s="5" t="s">
        <v>439</v>
      </c>
      <c r="D73" s="5" t="s">
        <v>119</v>
      </c>
      <c r="E73" s="5" t="s">
        <v>120</v>
      </c>
      <c r="F73" s="5" t="s">
        <v>440</v>
      </c>
      <c r="G73" s="5" t="s">
        <v>102</v>
      </c>
      <c r="H73" s="38" t="s">
        <v>441</v>
      </c>
    </row>
    <row r="74" spans="1:8">
      <c r="A74" s="5" t="s">
        <v>442</v>
      </c>
      <c r="B74" s="5" t="s">
        <v>443</v>
      </c>
      <c r="C74" s="5" t="s">
        <v>444</v>
      </c>
      <c r="D74" s="5" t="s">
        <v>119</v>
      </c>
      <c r="E74" s="5" t="s">
        <v>120</v>
      </c>
      <c r="F74" s="5" t="s">
        <v>445</v>
      </c>
      <c r="G74" s="5" t="s">
        <v>116</v>
      </c>
      <c r="H74" s="38" t="s">
        <v>446</v>
      </c>
    </row>
    <row r="75" spans="1:8">
      <c r="A75" s="5" t="s">
        <v>447</v>
      </c>
      <c r="B75" s="5" t="s">
        <v>448</v>
      </c>
      <c r="C75" s="5" t="s">
        <v>449</v>
      </c>
      <c r="D75" s="5" t="s">
        <v>119</v>
      </c>
      <c r="E75" s="5" t="s">
        <v>120</v>
      </c>
      <c r="F75" s="5" t="s">
        <v>450</v>
      </c>
      <c r="G75" s="5" t="s">
        <v>135</v>
      </c>
      <c r="H75" s="38" t="s">
        <v>451</v>
      </c>
    </row>
    <row r="76" spans="1:8">
      <c r="A76" s="5" t="s">
        <v>452</v>
      </c>
      <c r="B76" s="5" t="s">
        <v>453</v>
      </c>
      <c r="C76" s="5" t="s">
        <v>454</v>
      </c>
      <c r="D76" s="5" t="s">
        <v>99</v>
      </c>
      <c r="E76" s="5" t="s">
        <v>417</v>
      </c>
      <c r="F76" s="5" t="s">
        <v>455</v>
      </c>
      <c r="G76" s="5" t="s">
        <v>147</v>
      </c>
      <c r="H76" s="38" t="s">
        <v>456</v>
      </c>
    </row>
    <row r="77" spans="1:8">
      <c r="A77" s="5" t="s">
        <v>457</v>
      </c>
      <c r="B77" s="5" t="s">
        <v>458</v>
      </c>
      <c r="C77" s="5" t="s">
        <v>459</v>
      </c>
      <c r="D77" s="5" t="s">
        <v>176</v>
      </c>
      <c r="E77" s="5" t="s">
        <v>177</v>
      </c>
      <c r="F77" s="5" t="s">
        <v>460</v>
      </c>
      <c r="G77" s="5" t="s">
        <v>167</v>
      </c>
      <c r="H77" s="38" t="s">
        <v>461</v>
      </c>
    </row>
    <row r="78" spans="1:8">
      <c r="A78" s="5" t="s">
        <v>462</v>
      </c>
      <c r="B78" s="5" t="s">
        <v>463</v>
      </c>
      <c r="C78" s="5" t="s">
        <v>464</v>
      </c>
      <c r="D78" s="5" t="s">
        <v>79</v>
      </c>
      <c r="E78" s="5" t="s">
        <v>310</v>
      </c>
      <c r="F78" s="5" t="s">
        <v>465</v>
      </c>
      <c r="G78" s="5" t="s">
        <v>102</v>
      </c>
      <c r="H78" s="38" t="s">
        <v>466</v>
      </c>
    </row>
    <row r="79" spans="1:8">
      <c r="A79" s="5" t="s">
        <v>467</v>
      </c>
      <c r="B79" s="5" t="s">
        <v>468</v>
      </c>
      <c r="C79" s="5" t="s">
        <v>469</v>
      </c>
      <c r="D79" s="5" t="s">
        <v>119</v>
      </c>
      <c r="E79" s="5" t="s">
        <v>120</v>
      </c>
      <c r="F79" s="5" t="s">
        <v>470</v>
      </c>
      <c r="G79" s="5" t="s">
        <v>116</v>
      </c>
      <c r="H79" s="38" t="s">
        <v>471</v>
      </c>
    </row>
    <row r="80" spans="1:8">
      <c r="A80" s="5" t="s">
        <v>472</v>
      </c>
      <c r="B80" s="5" t="s">
        <v>473</v>
      </c>
      <c r="C80" s="5" t="s">
        <v>474</v>
      </c>
      <c r="D80" s="5" t="s">
        <v>176</v>
      </c>
      <c r="E80" s="5" t="s">
        <v>177</v>
      </c>
      <c r="F80" s="5" t="s">
        <v>475</v>
      </c>
      <c r="G80" s="5" t="s">
        <v>135</v>
      </c>
      <c r="H80" s="38" t="s">
        <v>476</v>
      </c>
    </row>
    <row r="81" spans="1:8">
      <c r="A81" s="5" t="s">
        <v>477</v>
      </c>
      <c r="B81" s="5" t="s">
        <v>478</v>
      </c>
      <c r="C81" s="5" t="s">
        <v>479</v>
      </c>
      <c r="D81" s="5" t="s">
        <v>79</v>
      </c>
      <c r="E81" s="5" t="s">
        <v>310</v>
      </c>
      <c r="F81" s="5" t="s">
        <v>480</v>
      </c>
      <c r="G81" s="5" t="s">
        <v>147</v>
      </c>
      <c r="H81" s="38" t="s">
        <v>481</v>
      </c>
    </row>
    <row r="82" spans="1:8">
      <c r="A82" s="5" t="s">
        <v>482</v>
      </c>
      <c r="B82" s="5" t="s">
        <v>483</v>
      </c>
      <c r="C82" s="5" t="s">
        <v>484</v>
      </c>
      <c r="D82" s="5" t="s">
        <v>54</v>
      </c>
      <c r="E82" s="5" t="s">
        <v>55</v>
      </c>
      <c r="F82" s="5" t="s">
        <v>440</v>
      </c>
      <c r="G82" s="5" t="s">
        <v>102</v>
      </c>
      <c r="H82" s="38" t="s">
        <v>485</v>
      </c>
    </row>
  </sheetData>
  <autoFilter ref="A1:H82" xr:uid="{00000000-0009-0000-0000-000001000000}"/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  <hyperlink ref="H40" r:id="rId39" xr:uid="{00000000-0004-0000-0100-000026000000}"/>
    <hyperlink ref="H41" r:id="rId40" xr:uid="{00000000-0004-0000-0100-000027000000}"/>
    <hyperlink ref="H42" r:id="rId41" xr:uid="{00000000-0004-0000-0100-000028000000}"/>
    <hyperlink ref="H43" r:id="rId42" xr:uid="{00000000-0004-0000-0100-000029000000}"/>
    <hyperlink ref="H44" r:id="rId43" xr:uid="{00000000-0004-0000-0100-00002A000000}"/>
    <hyperlink ref="H45" r:id="rId44" xr:uid="{00000000-0004-0000-0100-00002B000000}"/>
    <hyperlink ref="H46" r:id="rId45" xr:uid="{00000000-0004-0000-0100-00002C000000}"/>
    <hyperlink ref="H47" r:id="rId46" xr:uid="{00000000-0004-0000-0100-00002D000000}"/>
    <hyperlink ref="H48" r:id="rId47" xr:uid="{00000000-0004-0000-0100-00002E000000}"/>
    <hyperlink ref="H49" r:id="rId48" xr:uid="{00000000-0004-0000-0100-00002F000000}"/>
    <hyperlink ref="H50" r:id="rId49" xr:uid="{00000000-0004-0000-0100-000030000000}"/>
    <hyperlink ref="H51" r:id="rId50" xr:uid="{00000000-0004-0000-0100-000031000000}"/>
    <hyperlink ref="H52" r:id="rId51" xr:uid="{00000000-0004-0000-0100-000032000000}"/>
    <hyperlink ref="H53" r:id="rId52" xr:uid="{00000000-0004-0000-0100-000033000000}"/>
    <hyperlink ref="H54" r:id="rId53" xr:uid="{00000000-0004-0000-0100-000034000000}"/>
    <hyperlink ref="H55" r:id="rId54" xr:uid="{00000000-0004-0000-0100-000035000000}"/>
    <hyperlink ref="H56" r:id="rId55" xr:uid="{00000000-0004-0000-0100-000036000000}"/>
    <hyperlink ref="H57" r:id="rId56" xr:uid="{00000000-0004-0000-0100-000037000000}"/>
    <hyperlink ref="H58" r:id="rId57" xr:uid="{00000000-0004-0000-0100-000038000000}"/>
    <hyperlink ref="H59" r:id="rId58" xr:uid="{00000000-0004-0000-0100-000039000000}"/>
    <hyperlink ref="H60" r:id="rId59" xr:uid="{00000000-0004-0000-0100-00003A000000}"/>
    <hyperlink ref="H61" r:id="rId60" xr:uid="{00000000-0004-0000-0100-00003B000000}"/>
    <hyperlink ref="H62" r:id="rId61" xr:uid="{00000000-0004-0000-0100-00003C000000}"/>
    <hyperlink ref="H63" r:id="rId62" xr:uid="{00000000-0004-0000-0100-00003D000000}"/>
    <hyperlink ref="H64" r:id="rId63" xr:uid="{00000000-0004-0000-0100-00003E000000}"/>
    <hyperlink ref="H65" r:id="rId64" xr:uid="{00000000-0004-0000-0100-00003F000000}"/>
    <hyperlink ref="H66" r:id="rId65" xr:uid="{00000000-0004-0000-0100-000040000000}"/>
    <hyperlink ref="H67" r:id="rId66" xr:uid="{00000000-0004-0000-0100-000041000000}"/>
    <hyperlink ref="H68" r:id="rId67" xr:uid="{00000000-0004-0000-0100-000042000000}"/>
    <hyperlink ref="H69" r:id="rId68" xr:uid="{00000000-0004-0000-0100-000043000000}"/>
    <hyperlink ref="H70" r:id="rId69" xr:uid="{00000000-0004-0000-0100-000044000000}"/>
    <hyperlink ref="H71" r:id="rId70" xr:uid="{00000000-0004-0000-0100-000045000000}"/>
    <hyperlink ref="H72" r:id="rId71" xr:uid="{00000000-0004-0000-0100-000046000000}"/>
    <hyperlink ref="H73" r:id="rId72" xr:uid="{00000000-0004-0000-0100-000047000000}"/>
    <hyperlink ref="H74" r:id="rId73" xr:uid="{00000000-0004-0000-0100-000048000000}"/>
    <hyperlink ref="H75" r:id="rId74" xr:uid="{00000000-0004-0000-0100-000049000000}"/>
    <hyperlink ref="H76" r:id="rId75" xr:uid="{00000000-0004-0000-0100-00004A000000}"/>
    <hyperlink ref="H77" r:id="rId76" xr:uid="{00000000-0004-0000-0100-00004B000000}"/>
    <hyperlink ref="H78" r:id="rId77" xr:uid="{00000000-0004-0000-0100-00004C000000}"/>
    <hyperlink ref="H79" r:id="rId78" xr:uid="{00000000-0004-0000-0100-00004D000000}"/>
    <hyperlink ref="H80" r:id="rId79" xr:uid="{00000000-0004-0000-0100-00004E000000}"/>
    <hyperlink ref="H81" r:id="rId80" xr:uid="{00000000-0004-0000-0100-00004F000000}"/>
    <hyperlink ref="H82" r:id="rId81" xr:uid="{00000000-0004-0000-0100-000050000000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"/>
  <sheetViews>
    <sheetView tabSelected="1" workbookViewId="0">
      <selection activeCell="B45" sqref="B45"/>
    </sheetView>
    <sheetView workbookViewId="1">
      <selection activeCell="G20" sqref="G20"/>
    </sheetView>
  </sheetViews>
  <sheetFormatPr defaultColWidth="9" defaultRowHeight="15"/>
  <cols>
    <col min="1" max="1" width="11.5703125" customWidth="1"/>
    <col min="2" max="2" width="34.140625" customWidth="1"/>
    <col min="3" max="3" width="15.28515625" customWidth="1"/>
    <col min="4" max="4" width="77.28515625" style="30" customWidth="1"/>
    <col min="5" max="5" width="14.85546875" hidden="1" customWidth="1"/>
    <col min="6" max="6" width="8.85546875" hidden="1" customWidth="1"/>
    <col min="7" max="8" width="60" customWidth="1"/>
  </cols>
  <sheetData>
    <row r="1" spans="1:6" s="19" customFormat="1">
      <c r="A1" s="1" t="s">
        <v>43</v>
      </c>
      <c r="B1" s="1" t="s">
        <v>44</v>
      </c>
      <c r="C1" s="1" t="s">
        <v>486</v>
      </c>
      <c r="D1" s="31" t="s">
        <v>487</v>
      </c>
      <c r="E1" s="31" t="s">
        <v>488</v>
      </c>
      <c r="F1" s="31" t="s">
        <v>489</v>
      </c>
    </row>
    <row r="2" spans="1:6">
      <c r="A2" s="10" t="s">
        <v>51</v>
      </c>
      <c r="B2" s="32" t="s">
        <v>52</v>
      </c>
      <c r="C2" s="4" t="s">
        <v>6</v>
      </c>
      <c r="D2" s="33" t="s">
        <v>490</v>
      </c>
      <c r="E2" s="32" t="s">
        <v>491</v>
      </c>
      <c r="F2" s="32" t="s">
        <v>492</v>
      </c>
    </row>
    <row r="3" spans="1:6">
      <c r="A3" s="10" t="s">
        <v>65</v>
      </c>
      <c r="B3" s="32" t="s">
        <v>66</v>
      </c>
      <c r="C3" s="4" t="s">
        <v>6</v>
      </c>
      <c r="D3" s="33" t="s">
        <v>493</v>
      </c>
      <c r="E3" s="32" t="s">
        <v>491</v>
      </c>
      <c r="F3" s="32" t="s">
        <v>492</v>
      </c>
    </row>
    <row r="4" spans="1:6">
      <c r="A4" s="10" t="s">
        <v>84</v>
      </c>
      <c r="B4" s="32" t="s">
        <v>85</v>
      </c>
      <c r="C4" s="4" t="s">
        <v>6</v>
      </c>
      <c r="D4" s="33" t="s">
        <v>494</v>
      </c>
      <c r="E4" s="32" t="s">
        <v>491</v>
      </c>
      <c r="F4" s="32" t="s">
        <v>492</v>
      </c>
    </row>
    <row r="5" spans="1:6">
      <c r="A5" s="10" t="s">
        <v>96</v>
      </c>
      <c r="B5" s="32" t="s">
        <v>97</v>
      </c>
      <c r="C5" s="4" t="s">
        <v>6</v>
      </c>
      <c r="D5" s="33" t="s">
        <v>495</v>
      </c>
      <c r="E5" s="32" t="s">
        <v>491</v>
      </c>
      <c r="F5" s="32" t="s">
        <v>492</v>
      </c>
    </row>
    <row r="6" spans="1:6">
      <c r="A6" s="10" t="s">
        <v>110</v>
      </c>
      <c r="B6" s="32" t="s">
        <v>111</v>
      </c>
      <c r="C6" s="4" t="s">
        <v>6</v>
      </c>
      <c r="D6" s="33" t="s">
        <v>496</v>
      </c>
      <c r="E6" s="32" t="s">
        <v>491</v>
      </c>
      <c r="F6" s="32" t="s">
        <v>492</v>
      </c>
    </row>
    <row r="7" spans="1:6">
      <c r="A7" s="10" t="s">
        <v>129</v>
      </c>
      <c r="B7" s="32" t="s">
        <v>130</v>
      </c>
      <c r="C7" s="4" t="s">
        <v>6</v>
      </c>
      <c r="D7" s="33" t="s">
        <v>497</v>
      </c>
      <c r="E7" s="32" t="s">
        <v>491</v>
      </c>
      <c r="F7" s="32" t="s">
        <v>492</v>
      </c>
    </row>
    <row r="8" spans="1:6">
      <c r="A8" s="10" t="s">
        <v>143</v>
      </c>
      <c r="B8" s="32" t="s">
        <v>144</v>
      </c>
      <c r="C8" s="4" t="s">
        <v>6</v>
      </c>
      <c r="D8" s="33" t="s">
        <v>498</v>
      </c>
      <c r="E8" s="32" t="s">
        <v>491</v>
      </c>
      <c r="F8" s="32" t="s">
        <v>492</v>
      </c>
    </row>
    <row r="9" spans="1:6">
      <c r="A9" s="10" t="s">
        <v>161</v>
      </c>
      <c r="B9" s="32" t="s">
        <v>162</v>
      </c>
      <c r="C9" s="4" t="s">
        <v>6</v>
      </c>
      <c r="D9" s="33" t="s">
        <v>499</v>
      </c>
      <c r="E9" s="32" t="s">
        <v>491</v>
      </c>
      <c r="F9" s="32" t="s">
        <v>492</v>
      </c>
    </row>
    <row r="10" spans="1:6">
      <c r="A10" s="10" t="s">
        <v>173</v>
      </c>
      <c r="B10" s="32" t="s">
        <v>174</v>
      </c>
      <c r="C10" s="4" t="s">
        <v>6</v>
      </c>
      <c r="D10" s="33" t="s">
        <v>500</v>
      </c>
      <c r="E10" s="32" t="s">
        <v>491</v>
      </c>
      <c r="F10" s="32" t="s">
        <v>492</v>
      </c>
    </row>
    <row r="11" spans="1:6">
      <c r="A11" s="10" t="s">
        <v>185</v>
      </c>
      <c r="B11" s="32" t="s">
        <v>186</v>
      </c>
      <c r="C11" s="4" t="s">
        <v>6</v>
      </c>
      <c r="D11" s="33" t="s">
        <v>501</v>
      </c>
      <c r="E11" s="32" t="s">
        <v>491</v>
      </c>
      <c r="F11" s="32" t="s">
        <v>492</v>
      </c>
    </row>
    <row r="12" spans="1:6">
      <c r="A12" s="10" t="s">
        <v>200</v>
      </c>
      <c r="B12" s="32" t="s">
        <v>201</v>
      </c>
      <c r="C12" s="4" t="s">
        <v>10</v>
      </c>
      <c r="D12" s="33" t="s">
        <v>502</v>
      </c>
      <c r="E12" s="32" t="s">
        <v>491</v>
      </c>
      <c r="F12" s="32" t="s">
        <v>492</v>
      </c>
    </row>
    <row r="13" spans="1:6">
      <c r="A13" s="10" t="s">
        <v>210</v>
      </c>
      <c r="B13" s="32" t="s">
        <v>211</v>
      </c>
      <c r="C13" s="4" t="s">
        <v>10</v>
      </c>
      <c r="D13" s="33" t="s">
        <v>503</v>
      </c>
      <c r="E13" s="32" t="s">
        <v>491</v>
      </c>
      <c r="F13" s="32" t="s">
        <v>492</v>
      </c>
    </row>
    <row r="14" spans="1:6">
      <c r="A14" s="10" t="s">
        <v>220</v>
      </c>
      <c r="B14" s="32" t="s">
        <v>221</v>
      </c>
      <c r="C14" s="4" t="s">
        <v>10</v>
      </c>
      <c r="D14" s="33" t="s">
        <v>504</v>
      </c>
      <c r="E14" s="32" t="s">
        <v>491</v>
      </c>
      <c r="F14" s="32" t="s">
        <v>492</v>
      </c>
    </row>
    <row r="15" spans="1:6">
      <c r="A15" s="10" t="s">
        <v>236</v>
      </c>
      <c r="B15" s="32" t="s">
        <v>237</v>
      </c>
      <c r="C15" s="4" t="s">
        <v>10</v>
      </c>
      <c r="D15" s="33" t="s">
        <v>505</v>
      </c>
      <c r="E15" s="32" t="s">
        <v>491</v>
      </c>
      <c r="F15" s="32" t="s">
        <v>492</v>
      </c>
    </row>
    <row r="16" spans="1:6">
      <c r="A16" s="10" t="s">
        <v>246</v>
      </c>
      <c r="B16" s="32" t="s">
        <v>247</v>
      </c>
      <c r="C16" s="4" t="s">
        <v>10</v>
      </c>
      <c r="D16" s="33" t="s">
        <v>506</v>
      </c>
      <c r="E16" s="32" t="s">
        <v>491</v>
      </c>
      <c r="F16" s="32" t="s">
        <v>492</v>
      </c>
    </row>
    <row r="17" spans="1:6">
      <c r="A17" s="10" t="s">
        <v>251</v>
      </c>
      <c r="B17" s="32" t="s">
        <v>252</v>
      </c>
      <c r="C17" s="4" t="s">
        <v>10</v>
      </c>
      <c r="D17" s="33" t="s">
        <v>507</v>
      </c>
      <c r="E17" s="32" t="s">
        <v>491</v>
      </c>
      <c r="F17" s="32" t="s">
        <v>492</v>
      </c>
    </row>
    <row r="18" spans="1:6">
      <c r="A18" s="4" t="s">
        <v>267</v>
      </c>
      <c r="B18" s="32" t="s">
        <v>268</v>
      </c>
      <c r="C18" s="4" t="s">
        <v>10</v>
      </c>
      <c r="D18" s="33" t="s">
        <v>508</v>
      </c>
      <c r="E18" s="32" t="s">
        <v>491</v>
      </c>
      <c r="F18" s="32" t="s">
        <v>492</v>
      </c>
    </row>
    <row r="19" spans="1:6">
      <c r="A19" s="3" t="s">
        <v>276</v>
      </c>
      <c r="B19" s="21" t="s">
        <v>277</v>
      </c>
      <c r="C19" s="3" t="s">
        <v>13</v>
      </c>
      <c r="D19" s="34" t="s">
        <v>509</v>
      </c>
      <c r="E19" s="21" t="s">
        <v>491</v>
      </c>
      <c r="F19" s="21" t="s">
        <v>492</v>
      </c>
    </row>
    <row r="20" spans="1:6">
      <c r="A20" s="3" t="s">
        <v>286</v>
      </c>
      <c r="B20" s="21" t="s">
        <v>287</v>
      </c>
      <c r="C20" s="3" t="s">
        <v>13</v>
      </c>
      <c r="D20" s="34" t="s">
        <v>510</v>
      </c>
      <c r="E20" s="21" t="s">
        <v>491</v>
      </c>
      <c r="F20" s="21" t="s">
        <v>492</v>
      </c>
    </row>
    <row r="21" spans="1:6">
      <c r="A21" s="3" t="s">
        <v>302</v>
      </c>
      <c r="B21" s="21" t="s">
        <v>303</v>
      </c>
      <c r="C21" s="3" t="s">
        <v>13</v>
      </c>
      <c r="D21" s="34" t="s">
        <v>511</v>
      </c>
      <c r="E21" s="21" t="s">
        <v>491</v>
      </c>
      <c r="F21" s="21" t="s">
        <v>492</v>
      </c>
    </row>
    <row r="22" spans="1:6">
      <c r="A22" s="3" t="s">
        <v>313</v>
      </c>
      <c r="B22" s="21" t="s">
        <v>314</v>
      </c>
      <c r="C22" s="3" t="s">
        <v>13</v>
      </c>
      <c r="D22" s="34" t="s">
        <v>512</v>
      </c>
      <c r="E22" s="21" t="s">
        <v>491</v>
      </c>
      <c r="F22" s="21" t="s">
        <v>492</v>
      </c>
    </row>
    <row r="23" spans="1:6">
      <c r="A23" s="3" t="s">
        <v>322</v>
      </c>
      <c r="B23" s="21" t="s">
        <v>323</v>
      </c>
      <c r="C23" s="3" t="s">
        <v>13</v>
      </c>
      <c r="D23" s="34" t="s">
        <v>513</v>
      </c>
      <c r="E23" s="21" t="s">
        <v>491</v>
      </c>
      <c r="F23" s="21" t="s">
        <v>492</v>
      </c>
    </row>
    <row r="24" spans="1:6">
      <c r="A24" s="3" t="s">
        <v>327</v>
      </c>
      <c r="B24" s="21" t="s">
        <v>328</v>
      </c>
      <c r="C24" s="3" t="s">
        <v>13</v>
      </c>
      <c r="D24" s="34" t="s">
        <v>514</v>
      </c>
      <c r="E24" s="21" t="s">
        <v>491</v>
      </c>
      <c r="F24" s="21" t="s">
        <v>492</v>
      </c>
    </row>
    <row r="25" spans="1:6">
      <c r="A25" s="3" t="s">
        <v>336</v>
      </c>
      <c r="B25" s="21" t="s">
        <v>337</v>
      </c>
      <c r="C25" s="3" t="s">
        <v>16</v>
      </c>
      <c r="D25" s="34" t="s">
        <v>515</v>
      </c>
      <c r="E25" s="21" t="s">
        <v>516</v>
      </c>
      <c r="F25" s="21" t="s">
        <v>492</v>
      </c>
    </row>
    <row r="26" spans="1:6">
      <c r="A26" s="3" t="s">
        <v>346</v>
      </c>
      <c r="B26" s="21" t="s">
        <v>347</v>
      </c>
      <c r="C26" s="3" t="s">
        <v>16</v>
      </c>
      <c r="D26" s="34" t="s">
        <v>517</v>
      </c>
      <c r="E26" s="21" t="s">
        <v>516</v>
      </c>
      <c r="F26" s="21" t="s">
        <v>492</v>
      </c>
    </row>
    <row r="27" spans="1:6">
      <c r="A27" s="3" t="s">
        <v>351</v>
      </c>
      <c r="B27" s="21" t="s">
        <v>352</v>
      </c>
      <c r="C27" s="3" t="s">
        <v>16</v>
      </c>
      <c r="D27" s="34" t="s">
        <v>518</v>
      </c>
      <c r="E27" s="21" t="s">
        <v>516</v>
      </c>
      <c r="F27" s="21" t="s">
        <v>492</v>
      </c>
    </row>
    <row r="28" spans="1:6">
      <c r="A28" s="3" t="s">
        <v>361</v>
      </c>
      <c r="B28" s="21" t="s">
        <v>362</v>
      </c>
      <c r="C28" s="3" t="s">
        <v>16</v>
      </c>
      <c r="D28" s="34" t="s">
        <v>519</v>
      </c>
      <c r="E28" s="21" t="s">
        <v>516</v>
      </c>
      <c r="F28" s="21" t="s">
        <v>492</v>
      </c>
    </row>
    <row r="29" spans="1:6">
      <c r="A29" s="3" t="s">
        <v>371</v>
      </c>
      <c r="B29" s="21" t="s">
        <v>372</v>
      </c>
      <c r="C29" s="3" t="s">
        <v>16</v>
      </c>
      <c r="D29" s="34" t="s">
        <v>520</v>
      </c>
      <c r="E29" s="21" t="s">
        <v>516</v>
      </c>
      <c r="F29" s="21" t="s">
        <v>492</v>
      </c>
    </row>
    <row r="30" spans="1:6">
      <c r="A30" s="3" t="s">
        <v>376</v>
      </c>
      <c r="B30" s="21" t="s">
        <v>377</v>
      </c>
      <c r="C30" s="3" t="s">
        <v>16</v>
      </c>
      <c r="D30" s="34" t="s">
        <v>521</v>
      </c>
      <c r="E30" s="21" t="s">
        <v>516</v>
      </c>
      <c r="F30" s="21" t="s">
        <v>492</v>
      </c>
    </row>
    <row r="31" spans="1:6">
      <c r="A31" s="3" t="s">
        <v>385</v>
      </c>
      <c r="B31" s="21" t="s">
        <v>386</v>
      </c>
      <c r="C31" s="3" t="s">
        <v>19</v>
      </c>
      <c r="D31" s="34" t="s">
        <v>522</v>
      </c>
      <c r="E31" s="21" t="s">
        <v>516</v>
      </c>
      <c r="F31" s="21" t="s">
        <v>492</v>
      </c>
    </row>
    <row r="32" spans="1:6">
      <c r="A32" s="3" t="s">
        <v>394</v>
      </c>
      <c r="B32" s="21" t="s">
        <v>395</v>
      </c>
      <c r="C32" s="3" t="s">
        <v>19</v>
      </c>
      <c r="D32" s="34" t="s">
        <v>523</v>
      </c>
      <c r="E32" s="21" t="s">
        <v>516</v>
      </c>
      <c r="F32" s="21" t="s">
        <v>492</v>
      </c>
    </row>
    <row r="33" spans="1:6">
      <c r="A33" s="3" t="s">
        <v>399</v>
      </c>
      <c r="B33" s="21" t="s">
        <v>400</v>
      </c>
      <c r="C33" s="3" t="s">
        <v>19</v>
      </c>
      <c r="D33" s="34" t="s">
        <v>524</v>
      </c>
      <c r="E33" s="21" t="s">
        <v>516</v>
      </c>
      <c r="F33" s="21" t="s">
        <v>492</v>
      </c>
    </row>
    <row r="34" spans="1:6">
      <c r="A34" s="3" t="s">
        <v>404</v>
      </c>
      <c r="B34" s="21" t="s">
        <v>405</v>
      </c>
      <c r="C34" s="3" t="s">
        <v>19</v>
      </c>
      <c r="D34" s="34" t="s">
        <v>525</v>
      </c>
      <c r="E34" s="21" t="s">
        <v>516</v>
      </c>
      <c r="F34" s="21" t="s">
        <v>492</v>
      </c>
    </row>
    <row r="35" spans="1:6">
      <c r="A35" s="3" t="s">
        <v>409</v>
      </c>
      <c r="B35" s="21" t="s">
        <v>410</v>
      </c>
      <c r="C35" s="3" t="s">
        <v>19</v>
      </c>
      <c r="D35" s="34" t="s">
        <v>526</v>
      </c>
      <c r="E35" s="21" t="s">
        <v>516</v>
      </c>
      <c r="F35" s="21" t="s">
        <v>492</v>
      </c>
    </row>
    <row r="36" spans="1:6">
      <c r="A36" s="5" t="s">
        <v>414</v>
      </c>
      <c r="B36" s="22" t="s">
        <v>415</v>
      </c>
      <c r="C36" s="5" t="s">
        <v>22</v>
      </c>
      <c r="D36" s="35" t="s">
        <v>527</v>
      </c>
      <c r="E36" s="22" t="s">
        <v>516</v>
      </c>
      <c r="F36" s="22" t="s">
        <v>492</v>
      </c>
    </row>
    <row r="37" spans="1:6">
      <c r="A37" s="5" t="s">
        <v>420</v>
      </c>
      <c r="B37" s="22" t="s">
        <v>421</v>
      </c>
      <c r="C37" s="5" t="s">
        <v>22</v>
      </c>
      <c r="D37" s="35" t="s">
        <v>528</v>
      </c>
      <c r="E37" s="22" t="s">
        <v>516</v>
      </c>
      <c r="F37" s="22" t="s">
        <v>492</v>
      </c>
    </row>
    <row r="38" spans="1:6">
      <c r="A38" s="5" t="s">
        <v>425</v>
      </c>
      <c r="B38" s="22" t="s">
        <v>426</v>
      </c>
      <c r="C38" s="5" t="s">
        <v>22</v>
      </c>
      <c r="D38" s="35" t="s">
        <v>529</v>
      </c>
      <c r="E38" s="22" t="s">
        <v>516</v>
      </c>
      <c r="F38" s="22" t="s">
        <v>492</v>
      </c>
    </row>
    <row r="39" spans="1:6">
      <c r="A39" s="5" t="s">
        <v>430</v>
      </c>
      <c r="B39" s="22" t="s">
        <v>431</v>
      </c>
      <c r="C39" s="5" t="s">
        <v>22</v>
      </c>
      <c r="D39" s="35" t="s">
        <v>530</v>
      </c>
      <c r="E39" s="22" t="s">
        <v>516</v>
      </c>
      <c r="F39" s="22" t="s">
        <v>492</v>
      </c>
    </row>
    <row r="40" spans="1:6">
      <c r="A40" s="5" t="s">
        <v>437</v>
      </c>
      <c r="B40" s="22" t="s">
        <v>438</v>
      </c>
      <c r="C40" s="5" t="s">
        <v>25</v>
      </c>
      <c r="D40" s="35" t="s">
        <v>531</v>
      </c>
      <c r="E40" s="22" t="s">
        <v>516</v>
      </c>
      <c r="F40" s="22" t="s">
        <v>492</v>
      </c>
    </row>
    <row r="41" spans="1:6">
      <c r="A41" s="5" t="s">
        <v>442</v>
      </c>
      <c r="B41" s="22" t="s">
        <v>443</v>
      </c>
      <c r="C41" s="5" t="s">
        <v>25</v>
      </c>
      <c r="D41" s="35" t="s">
        <v>532</v>
      </c>
      <c r="E41" s="22" t="s">
        <v>516</v>
      </c>
      <c r="F41" s="22" t="s">
        <v>492</v>
      </c>
    </row>
    <row r="42" spans="1:6">
      <c r="A42" s="5" t="s">
        <v>447</v>
      </c>
      <c r="B42" s="22" t="s">
        <v>448</v>
      </c>
      <c r="C42" s="5" t="s">
        <v>25</v>
      </c>
      <c r="D42" s="35" t="s">
        <v>533</v>
      </c>
      <c r="E42" s="22" t="s">
        <v>516</v>
      </c>
      <c r="F42" s="22" t="s">
        <v>492</v>
      </c>
    </row>
    <row r="43" spans="1:6">
      <c r="A43" s="5" t="s">
        <v>452</v>
      </c>
      <c r="B43" s="22" t="s">
        <v>453</v>
      </c>
      <c r="C43" s="5" t="s">
        <v>28</v>
      </c>
      <c r="D43" s="35" t="s">
        <v>534</v>
      </c>
      <c r="E43" s="22" t="s">
        <v>516</v>
      </c>
      <c r="F43" s="22" t="s">
        <v>492</v>
      </c>
    </row>
    <row r="44" spans="1:6">
      <c r="A44" s="5" t="s">
        <v>457</v>
      </c>
      <c r="B44" s="22" t="s">
        <v>458</v>
      </c>
      <c r="C44" s="5" t="s">
        <v>28</v>
      </c>
      <c r="D44" s="35" t="s">
        <v>535</v>
      </c>
      <c r="E44" s="22" t="s">
        <v>516</v>
      </c>
      <c r="F44" s="22" t="s">
        <v>492</v>
      </c>
    </row>
    <row r="45" spans="1:6">
      <c r="A45" s="5" t="s">
        <v>462</v>
      </c>
      <c r="B45" s="22" t="s">
        <v>463</v>
      </c>
      <c r="C45" s="5" t="s">
        <v>28</v>
      </c>
      <c r="D45" s="35" t="s">
        <v>536</v>
      </c>
      <c r="E45" s="22" t="s">
        <v>516</v>
      </c>
      <c r="F45" s="22" t="s">
        <v>492</v>
      </c>
    </row>
    <row r="46" spans="1:6">
      <c r="A46" s="5" t="s">
        <v>467</v>
      </c>
      <c r="B46" s="22" t="s">
        <v>468</v>
      </c>
      <c r="C46" s="5" t="s">
        <v>31</v>
      </c>
      <c r="D46" s="35" t="s">
        <v>537</v>
      </c>
      <c r="E46" s="22" t="s">
        <v>516</v>
      </c>
      <c r="F46" s="22" t="s">
        <v>492</v>
      </c>
    </row>
    <row r="47" spans="1:6">
      <c r="A47" s="5" t="s">
        <v>472</v>
      </c>
      <c r="B47" s="22" t="s">
        <v>473</v>
      </c>
      <c r="C47" s="5" t="s">
        <v>31</v>
      </c>
      <c r="D47" s="35" t="s">
        <v>538</v>
      </c>
      <c r="E47" s="22" t="s">
        <v>539</v>
      </c>
      <c r="F47" s="22" t="s">
        <v>492</v>
      </c>
    </row>
    <row r="48" spans="1:6">
      <c r="A48" s="5" t="s">
        <v>477</v>
      </c>
      <c r="B48" s="22" t="s">
        <v>478</v>
      </c>
      <c r="C48" s="5" t="s">
        <v>31</v>
      </c>
      <c r="D48" s="35" t="s">
        <v>540</v>
      </c>
      <c r="E48" s="22" t="s">
        <v>539</v>
      </c>
      <c r="F48" s="22" t="s">
        <v>492</v>
      </c>
    </row>
    <row r="49" spans="1:6">
      <c r="A49" s="5" t="s">
        <v>482</v>
      </c>
      <c r="B49" s="22" t="s">
        <v>483</v>
      </c>
      <c r="C49" s="5" t="s">
        <v>34</v>
      </c>
      <c r="D49" s="35" t="s">
        <v>541</v>
      </c>
      <c r="E49" s="22" t="s">
        <v>539</v>
      </c>
      <c r="F49" s="22" t="s">
        <v>492</v>
      </c>
    </row>
    <row r="62" spans="1:6">
      <c r="E62">
        <v>30</v>
      </c>
      <c r="F62" t="s">
        <v>542</v>
      </c>
    </row>
    <row r="63" spans="1:6">
      <c r="E63">
        <v>35</v>
      </c>
      <c r="F63" t="s">
        <v>542</v>
      </c>
    </row>
    <row r="64" spans="1:6">
      <c r="E64">
        <v>43</v>
      </c>
      <c r="F64" t="s">
        <v>543</v>
      </c>
    </row>
  </sheetData>
  <autoFilter ref="A1:F4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2"/>
  <sheetViews>
    <sheetView zoomScale="85" zoomScaleNormal="85" workbookViewId="0">
      <selection activeCell="B12" sqref="B12"/>
    </sheetView>
    <sheetView zoomScale="85" zoomScaleNormal="85" workbookViewId="1">
      <selection activeCell="F104" sqref="F104"/>
    </sheetView>
  </sheetViews>
  <sheetFormatPr defaultColWidth="9" defaultRowHeight="15"/>
  <cols>
    <col min="1" max="1" width="12.7109375" customWidth="1"/>
    <col min="2" max="2" width="16.140625" customWidth="1"/>
    <col min="3" max="3" width="16.42578125" customWidth="1"/>
    <col min="4" max="4" width="16.140625" customWidth="1"/>
    <col min="5" max="5" width="30" customWidth="1"/>
    <col min="6" max="6" width="26.42578125" customWidth="1"/>
    <col min="7" max="7" width="35.85546875" customWidth="1"/>
    <col min="8" max="8" width="29.42578125" customWidth="1"/>
    <col min="9" max="9" width="42.28515625" customWidth="1"/>
  </cols>
  <sheetData>
    <row r="1" spans="1:9">
      <c r="A1" s="2" t="s">
        <v>544</v>
      </c>
      <c r="B1" s="2" t="s">
        <v>44</v>
      </c>
      <c r="C1" s="2" t="s">
        <v>486</v>
      </c>
      <c r="D1" s="2" t="s">
        <v>545</v>
      </c>
      <c r="E1" s="2" t="s">
        <v>546</v>
      </c>
      <c r="F1" s="2" t="s">
        <v>547</v>
      </c>
      <c r="G1" s="2" t="s">
        <v>548</v>
      </c>
      <c r="H1" s="2" t="s">
        <v>549</v>
      </c>
      <c r="I1" s="2" t="s">
        <v>550</v>
      </c>
    </row>
    <row r="2" spans="1:9" ht="30">
      <c r="A2" s="10" t="s">
        <v>551</v>
      </c>
      <c r="B2" s="32" t="s">
        <v>52</v>
      </c>
      <c r="C2" s="16" t="s">
        <v>6</v>
      </c>
      <c r="D2" s="4" t="s">
        <v>542</v>
      </c>
      <c r="E2" s="11">
        <v>45945</v>
      </c>
      <c r="F2" s="4">
        <f ca="1">INT(NOW()-E2)</f>
        <v>84</v>
      </c>
      <c r="G2" s="7">
        <v>1250000</v>
      </c>
      <c r="H2" s="11">
        <v>45992</v>
      </c>
      <c r="I2" s="4" t="s">
        <v>552</v>
      </c>
    </row>
    <row r="3" spans="1:9" ht="30">
      <c r="A3" s="10" t="s">
        <v>553</v>
      </c>
      <c r="B3" s="32" t="s">
        <v>52</v>
      </c>
      <c r="C3" s="4" t="s">
        <v>6</v>
      </c>
      <c r="D3" s="4" t="s">
        <v>554</v>
      </c>
      <c r="E3" s="11">
        <v>45962</v>
      </c>
      <c r="F3" s="4">
        <f ca="1">INT(NOW()-E3)</f>
        <v>67</v>
      </c>
      <c r="G3" s="7">
        <v>850000</v>
      </c>
      <c r="H3" s="11">
        <v>46006</v>
      </c>
      <c r="I3" s="4" t="s">
        <v>555</v>
      </c>
    </row>
    <row r="4" spans="1:9" ht="30">
      <c r="A4" s="3" t="s">
        <v>556</v>
      </c>
      <c r="B4" s="21" t="s">
        <v>386</v>
      </c>
      <c r="C4" s="3" t="s">
        <v>19</v>
      </c>
      <c r="D4" s="3" t="s">
        <v>543</v>
      </c>
      <c r="E4" s="11">
        <v>45920</v>
      </c>
      <c r="F4" s="4">
        <f t="shared" ref="F4:F67" ca="1" si="0">INT(NOW()-E4)</f>
        <v>109</v>
      </c>
      <c r="G4" s="6">
        <v>1200000</v>
      </c>
      <c r="H4" s="9">
        <v>45935</v>
      </c>
      <c r="I4" s="3" t="s">
        <v>557</v>
      </c>
    </row>
    <row r="5" spans="1:9" ht="30">
      <c r="A5" s="5" t="s">
        <v>558</v>
      </c>
      <c r="B5" s="22" t="s">
        <v>483</v>
      </c>
      <c r="C5" s="5" t="s">
        <v>34</v>
      </c>
      <c r="D5" s="5" t="s">
        <v>559</v>
      </c>
      <c r="E5" s="11">
        <v>45966</v>
      </c>
      <c r="F5" s="4">
        <f t="shared" ca="1" si="0"/>
        <v>63</v>
      </c>
      <c r="G5" s="8">
        <v>450000</v>
      </c>
      <c r="H5" s="12">
        <v>46032</v>
      </c>
      <c r="I5" s="5" t="s">
        <v>560</v>
      </c>
    </row>
    <row r="6" spans="1:9" ht="30">
      <c r="A6" s="10" t="s">
        <v>561</v>
      </c>
      <c r="B6" s="32" t="s">
        <v>52</v>
      </c>
      <c r="C6" s="4" t="s">
        <v>6</v>
      </c>
      <c r="D6" s="4" t="s">
        <v>554</v>
      </c>
      <c r="E6" s="11">
        <v>45897</v>
      </c>
      <c r="F6" s="4">
        <f t="shared" ca="1" si="0"/>
        <v>132</v>
      </c>
      <c r="G6" s="7">
        <v>1800000</v>
      </c>
      <c r="H6" s="11">
        <v>46011</v>
      </c>
      <c r="I6" s="4" t="s">
        <v>562</v>
      </c>
    </row>
    <row r="7" spans="1:9" ht="30">
      <c r="A7" s="10" t="s">
        <v>563</v>
      </c>
      <c r="B7" s="32" t="s">
        <v>66</v>
      </c>
      <c r="C7" s="4" t="s">
        <v>6</v>
      </c>
      <c r="D7" s="4" t="s">
        <v>542</v>
      </c>
      <c r="E7" s="11">
        <v>45952</v>
      </c>
      <c r="F7" s="4">
        <f t="shared" ca="1" si="0"/>
        <v>77</v>
      </c>
      <c r="G7" s="7">
        <v>620000</v>
      </c>
      <c r="H7" s="11">
        <v>45991</v>
      </c>
      <c r="I7" s="4" t="s">
        <v>564</v>
      </c>
    </row>
    <row r="8" spans="1:9" ht="30">
      <c r="A8" s="10" t="s">
        <v>565</v>
      </c>
      <c r="B8" s="32" t="s">
        <v>66</v>
      </c>
      <c r="C8" s="4" t="s">
        <v>6</v>
      </c>
      <c r="D8" s="4" t="s">
        <v>566</v>
      </c>
      <c r="E8" s="11">
        <v>45940</v>
      </c>
      <c r="F8" s="4">
        <f t="shared" ca="1" si="0"/>
        <v>89</v>
      </c>
      <c r="G8" s="7">
        <v>3500000</v>
      </c>
      <c r="H8" s="11">
        <v>45976</v>
      </c>
      <c r="I8" s="4" t="s">
        <v>567</v>
      </c>
    </row>
    <row r="9" spans="1:9" ht="30">
      <c r="A9" s="10" t="s">
        <v>568</v>
      </c>
      <c r="B9" s="32" t="s">
        <v>201</v>
      </c>
      <c r="C9" s="4" t="s">
        <v>10</v>
      </c>
      <c r="D9" s="4" t="s">
        <v>554</v>
      </c>
      <c r="E9" s="11">
        <v>45964</v>
      </c>
      <c r="F9" s="4">
        <f t="shared" ca="1" si="0"/>
        <v>65</v>
      </c>
      <c r="G9" s="7">
        <v>980000</v>
      </c>
      <c r="H9" s="11">
        <v>46016</v>
      </c>
      <c r="I9" s="4" t="s">
        <v>569</v>
      </c>
    </row>
    <row r="10" spans="1:9" ht="30">
      <c r="A10" s="3" t="s">
        <v>570</v>
      </c>
      <c r="B10" s="21" t="s">
        <v>277</v>
      </c>
      <c r="C10" s="3" t="s">
        <v>13</v>
      </c>
      <c r="D10" s="3" t="s">
        <v>542</v>
      </c>
      <c r="E10" s="11">
        <v>45948</v>
      </c>
      <c r="F10" s="4">
        <f t="shared" ca="1" si="0"/>
        <v>81</v>
      </c>
      <c r="G10" s="6">
        <v>1450000</v>
      </c>
      <c r="H10" s="9">
        <v>46027</v>
      </c>
      <c r="I10" s="3" t="s">
        <v>571</v>
      </c>
    </row>
    <row r="11" spans="1:9" ht="30">
      <c r="A11" s="5" t="s">
        <v>572</v>
      </c>
      <c r="B11" s="22" t="s">
        <v>415</v>
      </c>
      <c r="C11" s="5" t="s">
        <v>22</v>
      </c>
      <c r="D11" s="5" t="s">
        <v>543</v>
      </c>
      <c r="E11" s="11">
        <v>45925</v>
      </c>
      <c r="F11" s="4">
        <f t="shared" ca="1" si="0"/>
        <v>104</v>
      </c>
      <c r="G11" s="8">
        <v>1330000</v>
      </c>
      <c r="H11" s="12">
        <v>45940</v>
      </c>
      <c r="I11" s="5" t="s">
        <v>573</v>
      </c>
    </row>
    <row r="12" spans="1:9" ht="30">
      <c r="A12" s="10" t="s">
        <v>574</v>
      </c>
      <c r="B12" s="32" t="s">
        <v>85</v>
      </c>
      <c r="C12" s="16" t="s">
        <v>6</v>
      </c>
      <c r="D12" s="4" t="s">
        <v>559</v>
      </c>
      <c r="E12" s="11">
        <v>45967</v>
      </c>
      <c r="F12" s="4">
        <f t="shared" ca="1" si="0"/>
        <v>62</v>
      </c>
      <c r="G12" s="7">
        <v>320000</v>
      </c>
      <c r="H12" s="11">
        <v>46054</v>
      </c>
      <c r="I12" s="4" t="s">
        <v>575</v>
      </c>
    </row>
    <row r="13" spans="1:9" ht="30">
      <c r="A13" s="10" t="s">
        <v>576</v>
      </c>
      <c r="B13" s="32" t="s">
        <v>201</v>
      </c>
      <c r="C13" s="4" t="s">
        <v>10</v>
      </c>
      <c r="D13" s="4" t="s">
        <v>554</v>
      </c>
      <c r="E13" s="11">
        <v>45960</v>
      </c>
      <c r="F13" s="4">
        <f t="shared" ca="1" si="0"/>
        <v>69</v>
      </c>
      <c r="G13" s="7">
        <v>750000</v>
      </c>
      <c r="H13" s="11">
        <v>46009</v>
      </c>
      <c r="I13" s="4" t="s">
        <v>577</v>
      </c>
    </row>
    <row r="14" spans="1:9" ht="30">
      <c r="A14" s="10" t="s">
        <v>578</v>
      </c>
      <c r="B14" s="32" t="s">
        <v>201</v>
      </c>
      <c r="C14" s="4" t="s">
        <v>10</v>
      </c>
      <c r="D14" s="4" t="s">
        <v>542</v>
      </c>
      <c r="E14" s="11">
        <v>45925</v>
      </c>
      <c r="F14" s="4">
        <f t="shared" ca="1" si="0"/>
        <v>104</v>
      </c>
      <c r="G14" s="7">
        <v>1900000</v>
      </c>
      <c r="H14" s="11">
        <v>46019</v>
      </c>
      <c r="I14" s="4" t="s">
        <v>579</v>
      </c>
    </row>
    <row r="15" spans="1:9" ht="30">
      <c r="A15" s="5" t="s">
        <v>580</v>
      </c>
      <c r="B15" s="22" t="s">
        <v>438</v>
      </c>
      <c r="C15" s="5" t="s">
        <v>25</v>
      </c>
      <c r="D15" s="5" t="s">
        <v>543</v>
      </c>
      <c r="E15" s="11">
        <v>45935</v>
      </c>
      <c r="F15" s="4">
        <f t="shared" ca="1" si="0"/>
        <v>94</v>
      </c>
      <c r="G15" s="8">
        <v>2270000</v>
      </c>
      <c r="H15" s="12">
        <v>45950</v>
      </c>
      <c r="I15" s="5" t="s">
        <v>581</v>
      </c>
    </row>
    <row r="16" spans="1:9" ht="30">
      <c r="A16" s="10" t="s">
        <v>582</v>
      </c>
      <c r="B16" s="32" t="s">
        <v>97</v>
      </c>
      <c r="C16" s="4" t="s">
        <v>6</v>
      </c>
      <c r="D16" s="4" t="s">
        <v>583</v>
      </c>
      <c r="E16" s="11">
        <v>45942</v>
      </c>
      <c r="F16" s="4">
        <f t="shared" ca="1" si="0"/>
        <v>87</v>
      </c>
      <c r="G16" s="7">
        <v>540000</v>
      </c>
      <c r="H16" s="11">
        <v>45986</v>
      </c>
      <c r="I16" s="4" t="s">
        <v>584</v>
      </c>
    </row>
    <row r="17" spans="1:9" ht="30">
      <c r="A17" s="3" t="s">
        <v>585</v>
      </c>
      <c r="B17" s="21" t="s">
        <v>277</v>
      </c>
      <c r="C17" s="3" t="s">
        <v>13</v>
      </c>
      <c r="D17" s="3" t="s">
        <v>554</v>
      </c>
      <c r="E17" s="11">
        <v>45963</v>
      </c>
      <c r="F17" s="4">
        <f t="shared" ca="1" si="0"/>
        <v>66</v>
      </c>
      <c r="G17" s="6">
        <v>1950000</v>
      </c>
      <c r="H17" s="9">
        <v>46037</v>
      </c>
      <c r="I17" s="3" t="s">
        <v>586</v>
      </c>
    </row>
    <row r="18" spans="1:9" ht="30">
      <c r="A18" s="3" t="s">
        <v>587</v>
      </c>
      <c r="B18" s="21" t="s">
        <v>287</v>
      </c>
      <c r="C18" s="17" t="s">
        <v>13</v>
      </c>
      <c r="D18" s="3" t="s">
        <v>542</v>
      </c>
      <c r="E18" s="11">
        <v>45950</v>
      </c>
      <c r="F18" s="4">
        <f t="shared" ca="1" si="0"/>
        <v>79</v>
      </c>
      <c r="G18" s="6">
        <v>410000</v>
      </c>
      <c r="H18" s="9">
        <v>46001</v>
      </c>
      <c r="I18" s="3" t="s">
        <v>588</v>
      </c>
    </row>
    <row r="19" spans="1:9" ht="30">
      <c r="A19" s="10" t="s">
        <v>589</v>
      </c>
      <c r="B19" s="32" t="s">
        <v>97</v>
      </c>
      <c r="C19" s="4" t="s">
        <v>6</v>
      </c>
      <c r="D19" s="4" t="s">
        <v>559</v>
      </c>
      <c r="E19" s="11">
        <v>45968</v>
      </c>
      <c r="F19" s="4">
        <f t="shared" ca="1" si="0"/>
        <v>61</v>
      </c>
      <c r="G19" s="7">
        <v>280000</v>
      </c>
      <c r="H19" s="11">
        <v>46042</v>
      </c>
      <c r="I19" s="4" t="s">
        <v>590</v>
      </c>
    </row>
    <row r="20" spans="1:9" ht="30">
      <c r="A20" s="10" t="s">
        <v>591</v>
      </c>
      <c r="B20" s="32" t="s">
        <v>211</v>
      </c>
      <c r="C20" s="4" t="s">
        <v>10</v>
      </c>
      <c r="D20" s="4" t="s">
        <v>566</v>
      </c>
      <c r="E20" s="11">
        <v>45930</v>
      </c>
      <c r="F20" s="4">
        <f t="shared" ca="1" si="0"/>
        <v>99</v>
      </c>
      <c r="G20" s="7">
        <v>890000</v>
      </c>
      <c r="H20" s="11">
        <v>45966</v>
      </c>
      <c r="I20" s="4" t="s">
        <v>592</v>
      </c>
    </row>
    <row r="21" spans="1:9" ht="30">
      <c r="A21" s="3" t="s">
        <v>593</v>
      </c>
      <c r="B21" s="21" t="s">
        <v>287</v>
      </c>
      <c r="C21" s="3" t="s">
        <v>13</v>
      </c>
      <c r="D21" s="3" t="s">
        <v>554</v>
      </c>
      <c r="E21" s="11">
        <v>45959</v>
      </c>
      <c r="F21" s="4">
        <f t="shared" ca="1" si="0"/>
        <v>70</v>
      </c>
      <c r="G21" s="6">
        <v>1330000</v>
      </c>
      <c r="H21" s="9">
        <v>46013</v>
      </c>
      <c r="I21" s="3" t="s">
        <v>594</v>
      </c>
    </row>
    <row r="22" spans="1:9" ht="30">
      <c r="A22" s="3" t="s">
        <v>595</v>
      </c>
      <c r="B22" s="21" t="s">
        <v>337</v>
      </c>
      <c r="C22" s="3" t="s">
        <v>16</v>
      </c>
      <c r="D22" s="3" t="s">
        <v>542</v>
      </c>
      <c r="E22" s="11">
        <v>45923</v>
      </c>
      <c r="F22" s="4">
        <f t="shared" ca="1" si="0"/>
        <v>106</v>
      </c>
      <c r="G22" s="6">
        <v>2500000</v>
      </c>
      <c r="H22" s="9">
        <v>46030</v>
      </c>
      <c r="I22" s="3" t="s">
        <v>596</v>
      </c>
    </row>
    <row r="23" spans="1:9" ht="30">
      <c r="A23" s="5" t="s">
        <v>597</v>
      </c>
      <c r="B23" s="22" t="s">
        <v>453</v>
      </c>
      <c r="C23" s="5" t="s">
        <v>28</v>
      </c>
      <c r="D23" s="5" t="s">
        <v>543</v>
      </c>
      <c r="E23" s="11">
        <v>45938</v>
      </c>
      <c r="F23" s="4">
        <f t="shared" ca="1" si="0"/>
        <v>91</v>
      </c>
      <c r="G23" s="8">
        <v>2500000</v>
      </c>
      <c r="H23" s="12">
        <v>45955</v>
      </c>
      <c r="I23" s="5" t="s">
        <v>598</v>
      </c>
    </row>
    <row r="24" spans="1:9" ht="30">
      <c r="A24" s="10" t="s">
        <v>599</v>
      </c>
      <c r="B24" s="32" t="s">
        <v>211</v>
      </c>
      <c r="C24" s="4" t="s">
        <v>10</v>
      </c>
      <c r="D24" s="4" t="s">
        <v>559</v>
      </c>
      <c r="E24" s="11">
        <v>45965</v>
      </c>
      <c r="F24" s="4">
        <f t="shared" ca="1" si="0"/>
        <v>64</v>
      </c>
      <c r="G24" s="7">
        <v>720000</v>
      </c>
      <c r="H24" s="11">
        <v>46063</v>
      </c>
      <c r="I24" s="4" t="s">
        <v>600</v>
      </c>
    </row>
    <row r="25" spans="1:9" ht="30">
      <c r="A25" s="3" t="s">
        <v>601</v>
      </c>
      <c r="B25" s="21" t="s">
        <v>337</v>
      </c>
      <c r="C25" s="3" t="s">
        <v>16</v>
      </c>
      <c r="D25" s="3" t="s">
        <v>554</v>
      </c>
      <c r="E25" s="11">
        <v>45962</v>
      </c>
      <c r="F25" s="4">
        <f t="shared" ca="1" si="0"/>
        <v>67</v>
      </c>
      <c r="G25" s="6">
        <v>1600000</v>
      </c>
      <c r="H25" s="9">
        <v>46021</v>
      </c>
      <c r="I25" s="3" t="s">
        <v>602</v>
      </c>
    </row>
    <row r="26" spans="1:9" ht="30">
      <c r="A26" s="3" t="s">
        <v>603</v>
      </c>
      <c r="B26" s="21" t="s">
        <v>337</v>
      </c>
      <c r="C26" s="3" t="s">
        <v>16</v>
      </c>
      <c r="D26" s="3" t="s">
        <v>542</v>
      </c>
      <c r="E26" s="11">
        <v>45926</v>
      </c>
      <c r="F26" s="4">
        <f t="shared" ca="1" si="0"/>
        <v>103</v>
      </c>
      <c r="G26" s="6">
        <v>1140000</v>
      </c>
      <c r="H26" s="9">
        <v>46034</v>
      </c>
      <c r="I26" s="3" t="s">
        <v>604</v>
      </c>
    </row>
    <row r="27" spans="1:9" ht="30">
      <c r="A27" s="4" t="s">
        <v>605</v>
      </c>
      <c r="B27" s="32" t="s">
        <v>221</v>
      </c>
      <c r="C27" s="4" t="s">
        <v>10</v>
      </c>
      <c r="D27" s="4" t="s">
        <v>583</v>
      </c>
      <c r="E27" s="11">
        <v>45945</v>
      </c>
      <c r="F27" s="4">
        <f t="shared" ca="1" si="0"/>
        <v>84</v>
      </c>
      <c r="G27" s="7">
        <v>460000</v>
      </c>
      <c r="H27" s="11">
        <v>45996</v>
      </c>
      <c r="I27" s="4" t="s">
        <v>606</v>
      </c>
    </row>
    <row r="28" spans="1:9" ht="30">
      <c r="A28" s="5" t="s">
        <v>607</v>
      </c>
      <c r="B28" s="22" t="s">
        <v>468</v>
      </c>
      <c r="C28" s="5" t="s">
        <v>31</v>
      </c>
      <c r="D28" s="5" t="s">
        <v>543</v>
      </c>
      <c r="E28" s="11">
        <v>45928</v>
      </c>
      <c r="F28" s="4">
        <f t="shared" ca="1" si="0"/>
        <v>101</v>
      </c>
      <c r="G28" s="8">
        <v>2050000</v>
      </c>
      <c r="H28" s="12">
        <v>45945</v>
      </c>
      <c r="I28" s="5" t="s">
        <v>608</v>
      </c>
    </row>
    <row r="29" spans="1:9" ht="30">
      <c r="A29" s="3" t="s">
        <v>609</v>
      </c>
      <c r="B29" s="21" t="s">
        <v>386</v>
      </c>
      <c r="C29" s="3" t="s">
        <v>19</v>
      </c>
      <c r="D29" s="3" t="s">
        <v>554</v>
      </c>
      <c r="E29" s="11">
        <v>45961</v>
      </c>
      <c r="F29" s="4">
        <f t="shared" ca="1" si="0"/>
        <v>68</v>
      </c>
      <c r="G29" s="6">
        <v>1770000</v>
      </c>
      <c r="H29" s="9">
        <v>46040</v>
      </c>
      <c r="I29" s="3" t="s">
        <v>610</v>
      </c>
    </row>
    <row r="30" spans="1:9" ht="30">
      <c r="A30" s="3" t="s">
        <v>611</v>
      </c>
      <c r="B30" s="21" t="s">
        <v>395</v>
      </c>
      <c r="C30" s="3" t="s">
        <v>19</v>
      </c>
      <c r="D30" s="3" t="s">
        <v>542</v>
      </c>
      <c r="E30" s="11">
        <v>45951</v>
      </c>
      <c r="F30" s="4">
        <f t="shared" ca="1" si="0"/>
        <v>78</v>
      </c>
      <c r="G30" s="6">
        <v>3500000</v>
      </c>
      <c r="H30" s="9">
        <v>46019</v>
      </c>
      <c r="I30" s="3" t="s">
        <v>612</v>
      </c>
    </row>
    <row r="31" spans="1:9" ht="30">
      <c r="A31" s="3" t="s">
        <v>613</v>
      </c>
      <c r="B31" s="21" t="s">
        <v>303</v>
      </c>
      <c r="C31" s="3" t="s">
        <v>13</v>
      </c>
      <c r="D31" s="3" t="s">
        <v>559</v>
      </c>
      <c r="E31" s="11">
        <v>45966</v>
      </c>
      <c r="F31" s="4">
        <f t="shared" ca="1" si="0"/>
        <v>63</v>
      </c>
      <c r="G31" s="6">
        <v>380000</v>
      </c>
      <c r="H31" s="9">
        <v>46068</v>
      </c>
      <c r="I31" s="3" t="s">
        <v>614</v>
      </c>
    </row>
    <row r="32" spans="1:9" ht="30">
      <c r="A32" s="3" t="s">
        <v>615</v>
      </c>
      <c r="B32" s="21" t="s">
        <v>395</v>
      </c>
      <c r="C32" s="3" t="s">
        <v>19</v>
      </c>
      <c r="D32" s="3" t="s">
        <v>554</v>
      </c>
      <c r="E32" s="11">
        <v>45927</v>
      </c>
      <c r="F32" s="4">
        <f t="shared" ca="1" si="0"/>
        <v>102</v>
      </c>
      <c r="G32" s="6">
        <v>1920000</v>
      </c>
      <c r="H32" s="9">
        <v>46047</v>
      </c>
      <c r="I32" s="3" t="s">
        <v>616</v>
      </c>
    </row>
    <row r="33" spans="1:9" ht="30">
      <c r="A33" s="3" t="s">
        <v>617</v>
      </c>
      <c r="B33" s="21" t="s">
        <v>303</v>
      </c>
      <c r="C33" s="3" t="s">
        <v>13</v>
      </c>
      <c r="D33" s="3" t="s">
        <v>566</v>
      </c>
      <c r="E33" s="11">
        <v>45933</v>
      </c>
      <c r="F33" s="4">
        <f t="shared" ca="1" si="0"/>
        <v>96</v>
      </c>
      <c r="G33" s="6">
        <v>1290000</v>
      </c>
      <c r="H33" s="9">
        <v>45971</v>
      </c>
      <c r="I33" s="3" t="s">
        <v>618</v>
      </c>
    </row>
    <row r="34" spans="1:9" ht="30">
      <c r="A34" s="3" t="s">
        <v>619</v>
      </c>
      <c r="B34" s="21" t="s">
        <v>400</v>
      </c>
      <c r="C34" s="3" t="s">
        <v>19</v>
      </c>
      <c r="D34" s="3" t="s">
        <v>542</v>
      </c>
      <c r="E34" s="11">
        <v>45954</v>
      </c>
      <c r="F34" s="4">
        <f t="shared" ca="1" si="0"/>
        <v>75</v>
      </c>
      <c r="G34" s="6">
        <v>2050000</v>
      </c>
      <c r="H34" s="9">
        <v>46011</v>
      </c>
      <c r="I34" s="3" t="s">
        <v>620</v>
      </c>
    </row>
    <row r="35" spans="1:9" ht="30">
      <c r="A35" s="5" t="s">
        <v>621</v>
      </c>
      <c r="B35" s="22" t="s">
        <v>415</v>
      </c>
      <c r="C35" s="5" t="s">
        <v>22</v>
      </c>
      <c r="D35" s="5" t="s">
        <v>554</v>
      </c>
      <c r="E35" s="11">
        <v>45964</v>
      </c>
      <c r="F35" s="4">
        <f t="shared" ca="1" si="0"/>
        <v>65</v>
      </c>
      <c r="G35" s="8">
        <v>670000</v>
      </c>
      <c r="H35" s="12">
        <v>46027</v>
      </c>
      <c r="I35" s="5" t="s">
        <v>622</v>
      </c>
    </row>
    <row r="36" spans="1:9" ht="30">
      <c r="A36" s="10" t="s">
        <v>623</v>
      </c>
      <c r="B36" s="32" t="s">
        <v>97</v>
      </c>
      <c r="C36" s="4" t="s">
        <v>6</v>
      </c>
      <c r="D36" s="4" t="s">
        <v>543</v>
      </c>
      <c r="E36" s="11">
        <v>45931</v>
      </c>
      <c r="F36" s="4">
        <f t="shared" ca="1" si="0"/>
        <v>98</v>
      </c>
      <c r="G36" s="7">
        <v>2870000</v>
      </c>
      <c r="H36" s="11">
        <v>45948</v>
      </c>
      <c r="I36" s="4" t="s">
        <v>624</v>
      </c>
    </row>
    <row r="37" spans="1:9" ht="30">
      <c r="A37" s="3" t="s">
        <v>625</v>
      </c>
      <c r="B37" s="21" t="s">
        <v>347</v>
      </c>
      <c r="C37" s="3" t="s">
        <v>16</v>
      </c>
      <c r="D37" s="3" t="s">
        <v>559</v>
      </c>
      <c r="E37" s="11">
        <v>45967</v>
      </c>
      <c r="F37" s="4">
        <f t="shared" ca="1" si="0"/>
        <v>62</v>
      </c>
      <c r="G37" s="6">
        <v>520000</v>
      </c>
      <c r="H37" s="9">
        <v>46073</v>
      </c>
      <c r="I37" s="3" t="s">
        <v>626</v>
      </c>
    </row>
    <row r="38" spans="1:9" ht="30">
      <c r="A38" s="5" t="s">
        <v>627</v>
      </c>
      <c r="B38" s="22" t="s">
        <v>421</v>
      </c>
      <c r="C38" s="5" t="s">
        <v>22</v>
      </c>
      <c r="D38" s="5" t="s">
        <v>542</v>
      </c>
      <c r="E38" s="11">
        <v>45949</v>
      </c>
      <c r="F38" s="4">
        <f t="shared" ca="1" si="0"/>
        <v>80</v>
      </c>
      <c r="G38" s="8">
        <v>1860000</v>
      </c>
      <c r="H38" s="12">
        <v>46032</v>
      </c>
      <c r="I38" s="5" t="s">
        <v>628</v>
      </c>
    </row>
    <row r="39" spans="1:9" ht="30">
      <c r="A39" s="5" t="s">
        <v>629</v>
      </c>
      <c r="B39" s="22" t="s">
        <v>421</v>
      </c>
      <c r="C39" s="5" t="s">
        <v>22</v>
      </c>
      <c r="D39" s="5" t="s">
        <v>554</v>
      </c>
      <c r="E39" s="11">
        <v>45960</v>
      </c>
      <c r="F39" s="4">
        <f t="shared" ca="1" si="0"/>
        <v>69</v>
      </c>
      <c r="G39" s="8">
        <v>2200000</v>
      </c>
      <c r="H39" s="12">
        <v>46016</v>
      </c>
      <c r="I39" s="5" t="s">
        <v>630</v>
      </c>
    </row>
    <row r="40" spans="1:9" ht="30">
      <c r="A40" s="3" t="s">
        <v>631</v>
      </c>
      <c r="B40" s="21" t="s">
        <v>347</v>
      </c>
      <c r="C40" s="3" t="s">
        <v>16</v>
      </c>
      <c r="D40" s="3" t="s">
        <v>583</v>
      </c>
      <c r="E40" s="11">
        <v>45941</v>
      </c>
      <c r="F40" s="4">
        <f t="shared" ca="1" si="0"/>
        <v>88</v>
      </c>
      <c r="G40" s="6">
        <v>940000</v>
      </c>
      <c r="H40" s="9">
        <v>45991</v>
      </c>
      <c r="I40" s="3" t="s">
        <v>632</v>
      </c>
    </row>
    <row r="41" spans="1:9" ht="30">
      <c r="A41" s="10" t="s">
        <v>633</v>
      </c>
      <c r="B41" s="32" t="s">
        <v>111</v>
      </c>
      <c r="C41" s="4" t="s">
        <v>6</v>
      </c>
      <c r="D41" s="4" t="s">
        <v>543</v>
      </c>
      <c r="E41" s="11">
        <v>45922</v>
      </c>
      <c r="F41" s="4">
        <f t="shared" ca="1" si="0"/>
        <v>107</v>
      </c>
      <c r="G41" s="7">
        <v>3920000</v>
      </c>
      <c r="H41" s="11">
        <v>45938</v>
      </c>
      <c r="I41" s="4" t="s">
        <v>634</v>
      </c>
    </row>
    <row r="42" spans="1:9" ht="30">
      <c r="A42" s="5" t="s">
        <v>635</v>
      </c>
      <c r="B42" s="22" t="s">
        <v>426</v>
      </c>
      <c r="C42" s="5" t="s">
        <v>22</v>
      </c>
      <c r="D42" s="5" t="s">
        <v>542</v>
      </c>
      <c r="E42" s="11">
        <v>45947</v>
      </c>
      <c r="F42" s="4">
        <f t="shared" ca="1" si="0"/>
        <v>82</v>
      </c>
      <c r="G42" s="8">
        <v>780000</v>
      </c>
      <c r="H42" s="12">
        <v>46006</v>
      </c>
      <c r="I42" s="5" t="s">
        <v>636</v>
      </c>
    </row>
    <row r="43" spans="1:9" ht="30">
      <c r="A43" s="5" t="s">
        <v>637</v>
      </c>
      <c r="B43" s="22" t="s">
        <v>438</v>
      </c>
      <c r="C43" s="5" t="s">
        <v>25</v>
      </c>
      <c r="D43" s="5" t="s">
        <v>559</v>
      </c>
      <c r="E43" s="11">
        <v>45968</v>
      </c>
      <c r="F43" s="4">
        <f t="shared" ca="1" si="0"/>
        <v>61</v>
      </c>
      <c r="G43" s="8">
        <v>1150000</v>
      </c>
      <c r="H43" s="12">
        <v>46052</v>
      </c>
      <c r="I43" s="5" t="s">
        <v>638</v>
      </c>
    </row>
    <row r="44" spans="1:9" ht="30">
      <c r="A44" s="5" t="s">
        <v>639</v>
      </c>
      <c r="B44" s="22" t="s">
        <v>453</v>
      </c>
      <c r="C44" s="5" t="s">
        <v>28</v>
      </c>
      <c r="D44" s="5" t="s">
        <v>554</v>
      </c>
      <c r="E44" s="11">
        <v>45963</v>
      </c>
      <c r="F44" s="4">
        <f t="shared" ca="1" si="0"/>
        <v>66</v>
      </c>
      <c r="G44" s="8">
        <v>690000</v>
      </c>
      <c r="H44" s="12">
        <v>46058</v>
      </c>
      <c r="I44" s="5" t="s">
        <v>640</v>
      </c>
    </row>
    <row r="45" spans="1:9" ht="30">
      <c r="A45" s="3" t="s">
        <v>641</v>
      </c>
      <c r="B45" s="21" t="s">
        <v>352</v>
      </c>
      <c r="C45" s="3" t="s">
        <v>16</v>
      </c>
      <c r="D45" s="3" t="s">
        <v>566</v>
      </c>
      <c r="E45" s="11">
        <v>45937</v>
      </c>
      <c r="F45" s="4">
        <f t="shared" ca="1" si="0"/>
        <v>92</v>
      </c>
      <c r="G45" s="6">
        <v>1410000</v>
      </c>
      <c r="H45" s="9">
        <v>45981</v>
      </c>
      <c r="I45" s="3" t="s">
        <v>642</v>
      </c>
    </row>
    <row r="46" spans="1:9" ht="30">
      <c r="A46" s="5" t="s">
        <v>643</v>
      </c>
      <c r="B46" s="22" t="s">
        <v>458</v>
      </c>
      <c r="C46" s="5" t="s">
        <v>28</v>
      </c>
      <c r="D46" s="5" t="s">
        <v>542</v>
      </c>
      <c r="E46" s="11">
        <v>45897</v>
      </c>
      <c r="F46" s="4">
        <f t="shared" ca="1" si="0"/>
        <v>132</v>
      </c>
      <c r="G46" s="8">
        <v>2220000</v>
      </c>
      <c r="H46" s="12">
        <v>46044</v>
      </c>
      <c r="I46" s="5" t="s">
        <v>644</v>
      </c>
    </row>
    <row r="47" spans="1:9" ht="30">
      <c r="A47" s="10" t="s">
        <v>645</v>
      </c>
      <c r="B47" s="32" t="s">
        <v>221</v>
      </c>
      <c r="C47" s="16" t="s">
        <v>10</v>
      </c>
      <c r="D47" s="4" t="s">
        <v>554</v>
      </c>
      <c r="E47" s="11">
        <v>45925</v>
      </c>
      <c r="F47" s="4">
        <f t="shared" ca="1" si="0"/>
        <v>104</v>
      </c>
      <c r="G47" s="7">
        <v>1570000</v>
      </c>
      <c r="H47" s="11">
        <v>46019</v>
      </c>
      <c r="I47" s="4" t="s">
        <v>646</v>
      </c>
    </row>
    <row r="48" spans="1:9" ht="30">
      <c r="A48" s="10" t="s">
        <v>647</v>
      </c>
      <c r="B48" s="32" t="s">
        <v>221</v>
      </c>
      <c r="C48" s="4" t="s">
        <v>10</v>
      </c>
      <c r="D48" s="4" t="s">
        <v>543</v>
      </c>
      <c r="E48" s="11">
        <v>45926</v>
      </c>
      <c r="F48" s="4">
        <f t="shared" ca="1" si="0"/>
        <v>103</v>
      </c>
      <c r="G48" s="7">
        <v>3690000</v>
      </c>
      <c r="H48" s="11">
        <v>45942</v>
      </c>
      <c r="I48" s="4" t="s">
        <v>648</v>
      </c>
    </row>
    <row r="49" spans="1:9" ht="30">
      <c r="A49" s="5" t="s">
        <v>649</v>
      </c>
      <c r="B49" s="22" t="s">
        <v>443</v>
      </c>
      <c r="C49" s="5" t="s">
        <v>25</v>
      </c>
      <c r="D49" s="5" t="s">
        <v>559</v>
      </c>
      <c r="E49" s="12">
        <v>45965</v>
      </c>
      <c r="F49" s="4">
        <f t="shared" ca="1" si="0"/>
        <v>64</v>
      </c>
      <c r="G49" s="8">
        <v>5800000</v>
      </c>
      <c r="H49" s="12">
        <v>46082</v>
      </c>
      <c r="I49" s="5" t="s">
        <v>650</v>
      </c>
    </row>
    <row r="50" spans="1:9" ht="30">
      <c r="A50" s="21" t="s">
        <v>651</v>
      </c>
      <c r="B50" s="21" t="s">
        <v>400</v>
      </c>
      <c r="C50" s="17" t="s">
        <v>19</v>
      </c>
      <c r="D50" s="21" t="s">
        <v>559</v>
      </c>
      <c r="E50" s="11">
        <v>45668</v>
      </c>
      <c r="F50" s="4">
        <f t="shared" ca="1" si="0"/>
        <v>361</v>
      </c>
      <c r="G50" s="23">
        <v>1120000</v>
      </c>
      <c r="H50" s="24">
        <v>46068</v>
      </c>
      <c r="I50" s="6" t="s">
        <v>652</v>
      </c>
    </row>
    <row r="51" spans="1:9" ht="30">
      <c r="A51" s="22" t="s">
        <v>653</v>
      </c>
      <c r="B51" s="22" t="s">
        <v>426</v>
      </c>
      <c r="C51" s="18" t="s">
        <v>22</v>
      </c>
      <c r="D51" s="22" t="s">
        <v>559</v>
      </c>
      <c r="E51" s="11">
        <v>45667</v>
      </c>
      <c r="F51" s="4">
        <f t="shared" ca="1" si="0"/>
        <v>362</v>
      </c>
      <c r="G51" s="25">
        <v>980000</v>
      </c>
      <c r="H51" s="26">
        <v>46082</v>
      </c>
      <c r="I51" s="8" t="s">
        <v>654</v>
      </c>
    </row>
    <row r="52" spans="1:9" ht="30">
      <c r="A52" s="21" t="s">
        <v>655</v>
      </c>
      <c r="B52" s="21" t="s">
        <v>405</v>
      </c>
      <c r="C52" s="17" t="s">
        <v>19</v>
      </c>
      <c r="D52" s="21" t="s">
        <v>559</v>
      </c>
      <c r="E52" s="9">
        <v>45666</v>
      </c>
      <c r="F52" s="4">
        <f t="shared" ca="1" si="0"/>
        <v>363</v>
      </c>
      <c r="G52" s="23">
        <v>2450000</v>
      </c>
      <c r="H52" s="24">
        <v>46042</v>
      </c>
      <c r="I52" s="6" t="s">
        <v>656</v>
      </c>
    </row>
    <row r="53" spans="1:9" ht="30">
      <c r="A53" s="22" t="s">
        <v>657</v>
      </c>
      <c r="B53" s="22" t="s">
        <v>426</v>
      </c>
      <c r="C53" s="18" t="s">
        <v>22</v>
      </c>
      <c r="D53" s="22" t="s">
        <v>559</v>
      </c>
      <c r="E53" s="11">
        <v>45727</v>
      </c>
      <c r="F53" s="4">
        <f t="shared" ca="1" si="0"/>
        <v>302</v>
      </c>
      <c r="G53" s="25">
        <v>760000</v>
      </c>
      <c r="H53" s="26">
        <v>46081</v>
      </c>
      <c r="I53" s="8" t="s">
        <v>658</v>
      </c>
    </row>
    <row r="54" spans="1:9" ht="30">
      <c r="A54" s="22" t="s">
        <v>659</v>
      </c>
      <c r="B54" s="22" t="s">
        <v>458</v>
      </c>
      <c r="C54" s="18" t="s">
        <v>28</v>
      </c>
      <c r="D54" s="22" t="s">
        <v>559</v>
      </c>
      <c r="E54" s="11">
        <v>45724</v>
      </c>
      <c r="F54" s="4">
        <f t="shared" ca="1" si="0"/>
        <v>305</v>
      </c>
      <c r="G54" s="25">
        <v>1890000</v>
      </c>
      <c r="H54" s="26">
        <v>46091</v>
      </c>
      <c r="I54" s="8" t="s">
        <v>660</v>
      </c>
    </row>
    <row r="55" spans="1:9" ht="30">
      <c r="A55" s="22" t="s">
        <v>661</v>
      </c>
      <c r="B55" s="22" t="s">
        <v>473</v>
      </c>
      <c r="C55" s="18" t="s">
        <v>31</v>
      </c>
      <c r="D55" s="22" t="s">
        <v>559</v>
      </c>
      <c r="E55" s="11">
        <v>45788</v>
      </c>
      <c r="F55" s="4">
        <f t="shared" ca="1" si="0"/>
        <v>241</v>
      </c>
      <c r="G55" s="25">
        <v>540000</v>
      </c>
      <c r="H55" s="26">
        <v>46052</v>
      </c>
      <c r="I55" s="8" t="s">
        <v>662</v>
      </c>
    </row>
    <row r="56" spans="1:9" ht="30">
      <c r="A56" s="22" t="s">
        <v>663</v>
      </c>
      <c r="B56" s="22" t="s">
        <v>463</v>
      </c>
      <c r="C56" s="18" t="s">
        <v>28</v>
      </c>
      <c r="D56" s="22" t="s">
        <v>559</v>
      </c>
      <c r="E56" s="12">
        <v>45695</v>
      </c>
      <c r="F56" s="4">
        <f t="shared" ca="1" si="0"/>
        <v>334</v>
      </c>
      <c r="G56" s="25">
        <v>3200000</v>
      </c>
      <c r="H56" s="26">
        <v>46113</v>
      </c>
      <c r="I56" s="8" t="s">
        <v>664</v>
      </c>
    </row>
    <row r="57" spans="1:9" ht="30">
      <c r="A57" s="22" t="s">
        <v>665</v>
      </c>
      <c r="B57" s="22" t="s">
        <v>473</v>
      </c>
      <c r="C57" s="18" t="s">
        <v>31</v>
      </c>
      <c r="D57" s="22" t="s">
        <v>559</v>
      </c>
      <c r="E57" s="11">
        <v>45758</v>
      </c>
      <c r="F57" s="4">
        <f t="shared" ca="1" si="0"/>
        <v>271</v>
      </c>
      <c r="G57" s="25">
        <v>1350000</v>
      </c>
      <c r="H57" s="26">
        <v>46073</v>
      </c>
      <c r="I57" s="8" t="s">
        <v>666</v>
      </c>
    </row>
    <row r="58" spans="1:9" ht="30">
      <c r="A58" s="10" t="s">
        <v>667</v>
      </c>
      <c r="B58" s="32" t="s">
        <v>111</v>
      </c>
      <c r="C58" s="16" t="s">
        <v>6</v>
      </c>
      <c r="D58" s="4" t="s">
        <v>542</v>
      </c>
      <c r="E58" s="11">
        <v>45866</v>
      </c>
      <c r="F58" s="4">
        <f t="shared" ca="1" si="0"/>
        <v>163</v>
      </c>
      <c r="G58" s="7">
        <v>1680000</v>
      </c>
      <c r="H58" s="11">
        <v>46019</v>
      </c>
      <c r="I58" s="4" t="s">
        <v>668</v>
      </c>
    </row>
    <row r="59" spans="1:9" ht="30">
      <c r="A59" s="10" t="s">
        <v>669</v>
      </c>
      <c r="B59" s="32" t="s">
        <v>237</v>
      </c>
      <c r="C59" s="16" t="s">
        <v>10</v>
      </c>
      <c r="D59" s="4" t="s">
        <v>542</v>
      </c>
      <c r="E59" s="11">
        <v>45904</v>
      </c>
      <c r="F59" s="4">
        <f t="shared" ca="1" si="0"/>
        <v>125</v>
      </c>
      <c r="G59" s="7">
        <v>2150000</v>
      </c>
      <c r="H59" s="11">
        <v>46037</v>
      </c>
      <c r="I59" s="4" t="s">
        <v>670</v>
      </c>
    </row>
    <row r="60" spans="1:9" ht="30">
      <c r="A60" s="10" t="s">
        <v>671</v>
      </c>
      <c r="B60" s="32" t="s">
        <v>130</v>
      </c>
      <c r="C60" s="16" t="s">
        <v>6</v>
      </c>
      <c r="D60" s="4" t="s">
        <v>542</v>
      </c>
      <c r="E60" s="11">
        <v>45952</v>
      </c>
      <c r="F60" s="4">
        <f t="shared" ca="1" si="0"/>
        <v>77</v>
      </c>
      <c r="G60" s="7">
        <v>890000</v>
      </c>
      <c r="H60" s="11">
        <v>46011</v>
      </c>
      <c r="I60" s="4" t="s">
        <v>672</v>
      </c>
    </row>
    <row r="61" spans="1:9" ht="30">
      <c r="A61" s="10" t="s">
        <v>673</v>
      </c>
      <c r="B61" s="32" t="s">
        <v>237</v>
      </c>
      <c r="C61" s="16" t="s">
        <v>10</v>
      </c>
      <c r="D61" s="4" t="s">
        <v>542</v>
      </c>
      <c r="E61" s="11">
        <v>45962</v>
      </c>
      <c r="F61" s="4">
        <f t="shared" ca="1" si="0"/>
        <v>67</v>
      </c>
      <c r="G61" s="7">
        <v>1470000</v>
      </c>
      <c r="H61" s="11">
        <v>46032</v>
      </c>
      <c r="I61" s="4" t="s">
        <v>674</v>
      </c>
    </row>
    <row r="62" spans="1:9" ht="30">
      <c r="A62" s="3" t="s">
        <v>675</v>
      </c>
      <c r="B62" s="21" t="s">
        <v>314</v>
      </c>
      <c r="C62" s="17" t="s">
        <v>13</v>
      </c>
      <c r="D62" s="3" t="s">
        <v>542</v>
      </c>
      <c r="E62" s="11">
        <v>45925</v>
      </c>
      <c r="F62" s="4">
        <f t="shared" ca="1" si="0"/>
        <v>104</v>
      </c>
      <c r="G62" s="6">
        <v>2780000</v>
      </c>
      <c r="H62" s="9">
        <v>46054</v>
      </c>
      <c r="I62" s="3" t="s">
        <v>676</v>
      </c>
    </row>
    <row r="63" spans="1:9" ht="30">
      <c r="A63" s="3" t="s">
        <v>677</v>
      </c>
      <c r="B63" s="21" t="s">
        <v>352</v>
      </c>
      <c r="C63" s="17" t="s">
        <v>16</v>
      </c>
      <c r="D63" s="3" t="s">
        <v>542</v>
      </c>
      <c r="E63" s="11">
        <v>45968</v>
      </c>
      <c r="F63" s="4">
        <f t="shared" ca="1" si="0"/>
        <v>61</v>
      </c>
      <c r="G63" s="6">
        <v>720000</v>
      </c>
      <c r="H63" s="9">
        <v>46027</v>
      </c>
      <c r="I63" s="3" t="s">
        <v>678</v>
      </c>
    </row>
    <row r="64" spans="1:9" ht="30">
      <c r="A64" s="3" t="s">
        <v>679</v>
      </c>
      <c r="B64" s="21" t="s">
        <v>405</v>
      </c>
      <c r="C64" s="17" t="s">
        <v>19</v>
      </c>
      <c r="D64" s="3" t="s">
        <v>542</v>
      </c>
      <c r="E64" s="11">
        <v>45930</v>
      </c>
      <c r="F64" s="4">
        <f t="shared" ca="1" si="0"/>
        <v>99</v>
      </c>
      <c r="G64" s="6">
        <v>3950000</v>
      </c>
      <c r="H64" s="9">
        <v>46082</v>
      </c>
      <c r="I64" s="3" t="s">
        <v>680</v>
      </c>
    </row>
    <row r="65" spans="1:9" ht="30">
      <c r="A65" s="5" t="s">
        <v>681</v>
      </c>
      <c r="B65" s="22" t="s">
        <v>431</v>
      </c>
      <c r="C65" s="18" t="s">
        <v>22</v>
      </c>
      <c r="D65" s="5" t="s">
        <v>542</v>
      </c>
      <c r="E65" s="11">
        <v>45966</v>
      </c>
      <c r="F65" s="4">
        <f t="shared" ca="1" si="0"/>
        <v>63</v>
      </c>
      <c r="G65" s="8">
        <v>1920000</v>
      </c>
      <c r="H65" s="12">
        <v>46047</v>
      </c>
      <c r="I65" s="5" t="s">
        <v>682</v>
      </c>
    </row>
    <row r="66" spans="1:9" ht="30">
      <c r="A66" s="5" t="s">
        <v>683</v>
      </c>
      <c r="B66" s="22" t="s">
        <v>443</v>
      </c>
      <c r="C66" s="18" t="s">
        <v>25</v>
      </c>
      <c r="D66" s="5" t="s">
        <v>542</v>
      </c>
      <c r="E66" s="11">
        <v>45918</v>
      </c>
      <c r="F66" s="4">
        <f t="shared" ca="1" si="0"/>
        <v>111</v>
      </c>
      <c r="G66" s="8">
        <v>1340000</v>
      </c>
      <c r="H66" s="12">
        <v>46009</v>
      </c>
      <c r="I66" s="5" t="s">
        <v>684</v>
      </c>
    </row>
    <row r="67" spans="1:9" ht="30">
      <c r="A67" s="5" t="s">
        <v>685</v>
      </c>
      <c r="B67" s="22" t="s">
        <v>463</v>
      </c>
      <c r="C67" s="18" t="s">
        <v>28</v>
      </c>
      <c r="D67" s="5" t="s">
        <v>542</v>
      </c>
      <c r="E67" s="12">
        <v>45964</v>
      </c>
      <c r="F67" s="4">
        <f t="shared" ca="1" si="0"/>
        <v>65</v>
      </c>
      <c r="G67" s="8">
        <v>2410000</v>
      </c>
      <c r="H67" s="12">
        <v>46063</v>
      </c>
      <c r="I67" s="5" t="s">
        <v>686</v>
      </c>
    </row>
    <row r="68" spans="1:9" ht="30">
      <c r="A68" s="5" t="s">
        <v>687</v>
      </c>
      <c r="B68" s="22" t="s">
        <v>478</v>
      </c>
      <c r="C68" s="18" t="s">
        <v>31</v>
      </c>
      <c r="D68" s="5" t="s">
        <v>542</v>
      </c>
      <c r="E68" s="11">
        <v>45956</v>
      </c>
      <c r="F68" s="4">
        <f t="shared" ref="F68:F98" ca="1" si="1">INT(NOW()-E68)</f>
        <v>73</v>
      </c>
      <c r="G68" s="8">
        <v>1050000</v>
      </c>
      <c r="H68" s="12">
        <v>46030</v>
      </c>
      <c r="I68" s="5" t="s">
        <v>688</v>
      </c>
    </row>
    <row r="69" spans="1:9" ht="30">
      <c r="A69" s="5" t="s">
        <v>689</v>
      </c>
      <c r="B69" s="22" t="s">
        <v>483</v>
      </c>
      <c r="C69" s="27" t="s">
        <v>34</v>
      </c>
      <c r="D69" s="5" t="s">
        <v>542</v>
      </c>
      <c r="E69" s="11">
        <v>45967</v>
      </c>
      <c r="F69" s="4">
        <f t="shared" ca="1" si="1"/>
        <v>62</v>
      </c>
      <c r="G69" s="8">
        <v>2680000</v>
      </c>
      <c r="H69" s="12">
        <v>46068</v>
      </c>
      <c r="I69" s="5" t="s">
        <v>690</v>
      </c>
    </row>
    <row r="70" spans="1:9" ht="30">
      <c r="A70" s="10" t="s">
        <v>691</v>
      </c>
      <c r="B70" s="32" t="s">
        <v>130</v>
      </c>
      <c r="C70" s="16" t="s">
        <v>6</v>
      </c>
      <c r="D70" s="4" t="s">
        <v>554</v>
      </c>
      <c r="E70" s="11">
        <v>45938</v>
      </c>
      <c r="F70" s="4">
        <f t="shared" ca="1" si="1"/>
        <v>91</v>
      </c>
      <c r="G70" s="7">
        <v>1950000</v>
      </c>
      <c r="H70" s="11">
        <v>46021</v>
      </c>
      <c r="I70" s="4" t="s">
        <v>692</v>
      </c>
    </row>
    <row r="71" spans="1:9" ht="30">
      <c r="A71" s="10" t="s">
        <v>693</v>
      </c>
      <c r="B71" s="32" t="s">
        <v>247</v>
      </c>
      <c r="C71" s="16" t="s">
        <v>10</v>
      </c>
      <c r="D71" s="4" t="s">
        <v>554</v>
      </c>
      <c r="E71" s="11">
        <v>45905</v>
      </c>
      <c r="F71" s="4">
        <f t="shared" ca="1" si="1"/>
        <v>124</v>
      </c>
      <c r="G71" s="7">
        <v>2720000</v>
      </c>
      <c r="H71" s="11">
        <v>46042</v>
      </c>
      <c r="I71" s="4" t="s">
        <v>694</v>
      </c>
    </row>
    <row r="72" spans="1:9" ht="30">
      <c r="A72" s="3" t="s">
        <v>695</v>
      </c>
      <c r="B72" s="21" t="s">
        <v>314</v>
      </c>
      <c r="C72" s="17" t="s">
        <v>13</v>
      </c>
      <c r="D72" s="3" t="s">
        <v>554</v>
      </c>
      <c r="E72" s="11">
        <v>45940</v>
      </c>
      <c r="F72" s="4">
        <f t="shared" ca="1" si="1"/>
        <v>89</v>
      </c>
      <c r="G72" s="6">
        <v>1180000</v>
      </c>
      <c r="H72" s="9">
        <v>46034</v>
      </c>
      <c r="I72" s="3" t="s">
        <v>696</v>
      </c>
    </row>
    <row r="73" spans="1:9" ht="30">
      <c r="A73" s="3" t="s">
        <v>697</v>
      </c>
      <c r="B73" s="21" t="s">
        <v>362</v>
      </c>
      <c r="C73" s="17" t="s">
        <v>16</v>
      </c>
      <c r="D73" s="3" t="s">
        <v>554</v>
      </c>
      <c r="E73" s="11">
        <v>45964</v>
      </c>
      <c r="F73" s="4">
        <f t="shared" ca="1" si="1"/>
        <v>65</v>
      </c>
      <c r="G73" s="6">
        <v>3140000</v>
      </c>
      <c r="H73" s="9">
        <v>46058</v>
      </c>
      <c r="I73" s="3" t="s">
        <v>698</v>
      </c>
    </row>
    <row r="74" spans="1:9" ht="30">
      <c r="A74" s="3" t="s">
        <v>699</v>
      </c>
      <c r="B74" s="21" t="s">
        <v>410</v>
      </c>
      <c r="C74" s="17" t="s">
        <v>19</v>
      </c>
      <c r="D74" s="3" t="s">
        <v>554</v>
      </c>
      <c r="E74" s="11">
        <v>45968</v>
      </c>
      <c r="F74" s="4">
        <f t="shared" ca="1" si="1"/>
        <v>61</v>
      </c>
      <c r="G74" s="6">
        <v>860000</v>
      </c>
      <c r="H74" s="9">
        <v>46030</v>
      </c>
      <c r="I74" s="3" t="s">
        <v>700</v>
      </c>
    </row>
    <row r="75" spans="1:9" ht="30">
      <c r="A75" s="5" t="s">
        <v>701</v>
      </c>
      <c r="B75" s="22" t="s">
        <v>431</v>
      </c>
      <c r="C75" s="18" t="s">
        <v>22</v>
      </c>
      <c r="D75" s="5" t="s">
        <v>554</v>
      </c>
      <c r="E75" s="11">
        <v>45962</v>
      </c>
      <c r="F75" s="4">
        <f t="shared" ca="1" si="1"/>
        <v>67</v>
      </c>
      <c r="G75" s="8">
        <v>4210000</v>
      </c>
      <c r="H75" s="12">
        <v>46096</v>
      </c>
      <c r="I75" s="5" t="s">
        <v>702</v>
      </c>
    </row>
    <row r="76" spans="1:9" ht="30">
      <c r="A76" s="5" t="s">
        <v>703</v>
      </c>
      <c r="B76" s="22" t="s">
        <v>448</v>
      </c>
      <c r="C76" s="18" t="s">
        <v>25</v>
      </c>
      <c r="D76" s="5" t="s">
        <v>554</v>
      </c>
      <c r="E76" s="11">
        <v>45970</v>
      </c>
      <c r="F76" s="4">
        <f t="shared" ca="1" si="1"/>
        <v>59</v>
      </c>
      <c r="G76" s="8">
        <v>1570000</v>
      </c>
      <c r="H76" s="12">
        <v>46050</v>
      </c>
      <c r="I76" s="5" t="s">
        <v>704</v>
      </c>
    </row>
    <row r="77" spans="1:9" ht="30">
      <c r="A77" s="10" t="s">
        <v>705</v>
      </c>
      <c r="B77" s="32" t="s">
        <v>144</v>
      </c>
      <c r="C77" s="16" t="s">
        <v>6</v>
      </c>
      <c r="D77" s="4" t="s">
        <v>554</v>
      </c>
      <c r="E77" s="11">
        <v>45965</v>
      </c>
      <c r="F77" s="4">
        <f t="shared" ca="1" si="1"/>
        <v>64</v>
      </c>
      <c r="G77" s="7">
        <v>2380000</v>
      </c>
      <c r="H77" s="11">
        <v>46054</v>
      </c>
      <c r="I77" s="4" t="s">
        <v>706</v>
      </c>
    </row>
    <row r="78" spans="1:9" ht="30">
      <c r="A78" s="10" t="s">
        <v>707</v>
      </c>
      <c r="B78" s="32" t="s">
        <v>247</v>
      </c>
      <c r="C78" s="16" t="s">
        <v>10</v>
      </c>
      <c r="D78" s="4" t="s">
        <v>554</v>
      </c>
      <c r="E78" s="11">
        <v>45967</v>
      </c>
      <c r="F78" s="4">
        <f t="shared" ca="1" si="1"/>
        <v>62</v>
      </c>
      <c r="G78" s="7">
        <v>1730000</v>
      </c>
      <c r="H78" s="11">
        <v>46040</v>
      </c>
      <c r="I78" s="4" t="s">
        <v>708</v>
      </c>
    </row>
    <row r="79" spans="1:9" ht="30">
      <c r="A79" s="3" t="s">
        <v>709</v>
      </c>
      <c r="B79" s="21" t="s">
        <v>323</v>
      </c>
      <c r="C79" s="17" t="s">
        <v>13</v>
      </c>
      <c r="D79" s="3" t="s">
        <v>554</v>
      </c>
      <c r="E79" s="11">
        <v>45963</v>
      </c>
      <c r="F79" s="4">
        <f t="shared" ca="1" si="1"/>
        <v>66</v>
      </c>
      <c r="G79" s="6">
        <v>2990000</v>
      </c>
      <c r="H79" s="9">
        <v>46073</v>
      </c>
      <c r="I79" s="3" t="s">
        <v>710</v>
      </c>
    </row>
    <row r="80" spans="1:9" ht="30">
      <c r="A80" s="3" t="s">
        <v>711</v>
      </c>
      <c r="B80" s="21" t="s">
        <v>362</v>
      </c>
      <c r="C80" s="17" t="s">
        <v>16</v>
      </c>
      <c r="D80" s="3" t="s">
        <v>554</v>
      </c>
      <c r="E80" s="11">
        <v>45972</v>
      </c>
      <c r="F80" s="4">
        <f t="shared" ca="1" si="1"/>
        <v>57</v>
      </c>
      <c r="G80" s="6">
        <v>1410000</v>
      </c>
      <c r="H80" s="9">
        <v>46047</v>
      </c>
      <c r="I80" s="3" t="s">
        <v>712</v>
      </c>
    </row>
    <row r="81" spans="1:9" ht="30">
      <c r="A81" s="3" t="s">
        <v>713</v>
      </c>
      <c r="B81" s="21" t="s">
        <v>410</v>
      </c>
      <c r="C81" s="17" t="s">
        <v>19</v>
      </c>
      <c r="D81" s="3" t="s">
        <v>554</v>
      </c>
      <c r="E81" s="11">
        <v>45966</v>
      </c>
      <c r="F81" s="4">
        <f t="shared" ca="1" si="1"/>
        <v>63</v>
      </c>
      <c r="G81" s="6">
        <v>3550000</v>
      </c>
      <c r="H81" s="9">
        <v>46082</v>
      </c>
      <c r="I81" s="3" t="s">
        <v>714</v>
      </c>
    </row>
    <row r="82" spans="1:9" ht="30">
      <c r="A82" s="13" t="s">
        <v>715</v>
      </c>
      <c r="B82" s="22" t="s">
        <v>431</v>
      </c>
      <c r="C82" s="18" t="s">
        <v>22</v>
      </c>
      <c r="D82" s="5" t="s">
        <v>554</v>
      </c>
      <c r="E82" s="11">
        <v>45968</v>
      </c>
      <c r="F82" s="4">
        <f t="shared" ca="1" si="1"/>
        <v>61</v>
      </c>
      <c r="G82" s="8">
        <v>1090000</v>
      </c>
      <c r="H82" s="12">
        <v>46037</v>
      </c>
      <c r="I82" s="5" t="s">
        <v>716</v>
      </c>
    </row>
    <row r="83" spans="1:9" ht="30">
      <c r="A83" s="10" t="s">
        <v>717</v>
      </c>
      <c r="B83" s="32" t="s">
        <v>144</v>
      </c>
      <c r="C83" s="16" t="s">
        <v>6</v>
      </c>
      <c r="D83" s="4" t="s">
        <v>543</v>
      </c>
      <c r="E83" s="11">
        <v>45672</v>
      </c>
      <c r="F83" s="4">
        <f t="shared" ca="1" si="1"/>
        <v>357</v>
      </c>
      <c r="G83" s="7">
        <v>2340000</v>
      </c>
      <c r="H83" s="11">
        <v>45950</v>
      </c>
      <c r="I83" s="4" t="s">
        <v>718</v>
      </c>
    </row>
    <row r="84" spans="1:9" ht="30">
      <c r="A84" s="10" t="s">
        <v>719</v>
      </c>
      <c r="B84" s="32" t="s">
        <v>252</v>
      </c>
      <c r="C84" s="16" t="s">
        <v>10</v>
      </c>
      <c r="D84" s="4" t="s">
        <v>543</v>
      </c>
      <c r="E84" s="11">
        <v>45685</v>
      </c>
      <c r="F84" s="4">
        <f t="shared" ca="1" si="1"/>
        <v>344</v>
      </c>
      <c r="G84" s="7">
        <v>1890000</v>
      </c>
      <c r="H84" s="11">
        <v>45935</v>
      </c>
      <c r="I84" s="4" t="s">
        <v>720</v>
      </c>
    </row>
    <row r="85" spans="1:9" ht="30">
      <c r="A85" s="3" t="s">
        <v>721</v>
      </c>
      <c r="B85" s="21" t="s">
        <v>323</v>
      </c>
      <c r="C85" s="17" t="s">
        <v>13</v>
      </c>
      <c r="D85" s="3" t="s">
        <v>543</v>
      </c>
      <c r="E85" s="11">
        <v>45665</v>
      </c>
      <c r="F85" s="4">
        <f t="shared" ca="1" si="1"/>
        <v>364</v>
      </c>
      <c r="G85" s="6">
        <v>3120000</v>
      </c>
      <c r="H85" s="9">
        <v>45942</v>
      </c>
      <c r="I85" s="3" t="s">
        <v>722</v>
      </c>
    </row>
    <row r="86" spans="1:9" ht="30">
      <c r="A86" s="10" t="s">
        <v>723</v>
      </c>
      <c r="B86" s="32" t="s">
        <v>162</v>
      </c>
      <c r="C86" s="16" t="s">
        <v>6</v>
      </c>
      <c r="D86" s="4" t="s">
        <v>543</v>
      </c>
      <c r="E86" s="11">
        <v>45710</v>
      </c>
      <c r="F86" s="4">
        <f t="shared" ca="1" si="1"/>
        <v>319</v>
      </c>
      <c r="G86" s="7">
        <v>1650000</v>
      </c>
      <c r="H86" s="11">
        <v>45958</v>
      </c>
      <c r="I86" s="4" t="s">
        <v>724</v>
      </c>
    </row>
    <row r="87" spans="1:9" ht="30">
      <c r="A87" s="10" t="s">
        <v>725</v>
      </c>
      <c r="B87" s="32" t="s">
        <v>268</v>
      </c>
      <c r="C87" s="16" t="s">
        <v>10</v>
      </c>
      <c r="D87" s="4" t="s">
        <v>543</v>
      </c>
      <c r="E87" s="11">
        <v>45708</v>
      </c>
      <c r="F87" s="4">
        <f t="shared" ca="1" si="1"/>
        <v>321</v>
      </c>
      <c r="G87" s="7">
        <v>4050000</v>
      </c>
      <c r="H87" s="11">
        <v>45931</v>
      </c>
      <c r="I87" s="4" t="s">
        <v>726</v>
      </c>
    </row>
    <row r="88" spans="1:9" ht="30">
      <c r="A88" s="3" t="s">
        <v>727</v>
      </c>
      <c r="B88" s="21" t="s">
        <v>328</v>
      </c>
      <c r="C88" s="17" t="s">
        <v>13</v>
      </c>
      <c r="D88" s="3" t="s">
        <v>543</v>
      </c>
      <c r="E88" s="11">
        <v>45948</v>
      </c>
      <c r="F88" s="4">
        <f t="shared" ca="1" si="1"/>
        <v>81</v>
      </c>
      <c r="G88" s="6">
        <v>2760000</v>
      </c>
      <c r="H88" s="9">
        <v>45955</v>
      </c>
      <c r="I88" s="3" t="s">
        <v>728</v>
      </c>
    </row>
    <row r="89" spans="1:9" ht="30">
      <c r="A89" s="3" t="s">
        <v>729</v>
      </c>
      <c r="B89" s="21" t="s">
        <v>372</v>
      </c>
      <c r="C89" s="17" t="s">
        <v>16</v>
      </c>
      <c r="D89" s="3" t="s">
        <v>543</v>
      </c>
      <c r="E89" s="11">
        <v>45752</v>
      </c>
      <c r="F89" s="4">
        <f t="shared" ca="1" si="1"/>
        <v>277</v>
      </c>
      <c r="G89" s="6">
        <v>1480000</v>
      </c>
      <c r="H89" s="9">
        <v>45940</v>
      </c>
      <c r="I89" s="3" t="s">
        <v>730</v>
      </c>
    </row>
    <row r="90" spans="1:9" ht="30">
      <c r="A90" s="5" t="s">
        <v>731</v>
      </c>
      <c r="B90" s="22" t="s">
        <v>448</v>
      </c>
      <c r="C90" s="18" t="s">
        <v>25</v>
      </c>
      <c r="D90" s="5" t="s">
        <v>543</v>
      </c>
      <c r="E90" s="11">
        <v>45942</v>
      </c>
      <c r="F90" s="4">
        <f t="shared" ca="1" si="1"/>
        <v>87</v>
      </c>
      <c r="G90" s="8">
        <v>2910000</v>
      </c>
      <c r="H90" s="12">
        <v>45948</v>
      </c>
      <c r="I90" s="5" t="s">
        <v>732</v>
      </c>
    </row>
    <row r="91" spans="1:9" ht="30">
      <c r="A91" s="10" t="s">
        <v>733</v>
      </c>
      <c r="B91" s="32" t="s">
        <v>162</v>
      </c>
      <c r="C91" s="16" t="s">
        <v>6</v>
      </c>
      <c r="D91" s="4" t="s">
        <v>566</v>
      </c>
      <c r="E91" s="11">
        <v>45955</v>
      </c>
      <c r="F91" s="4">
        <f t="shared" ca="1" si="1"/>
        <v>74</v>
      </c>
      <c r="G91" s="7">
        <v>1780000</v>
      </c>
      <c r="H91" s="11">
        <v>46006</v>
      </c>
      <c r="I91" s="4" t="s">
        <v>734</v>
      </c>
    </row>
    <row r="92" spans="1:9" ht="30">
      <c r="A92" s="10" t="s">
        <v>735</v>
      </c>
      <c r="B92" s="32" t="s">
        <v>268</v>
      </c>
      <c r="C92" s="16" t="s">
        <v>10</v>
      </c>
      <c r="D92" s="4" t="s">
        <v>566</v>
      </c>
      <c r="E92" s="11">
        <v>45940</v>
      </c>
      <c r="F92" s="4">
        <f t="shared" ca="1" si="1"/>
        <v>89</v>
      </c>
      <c r="G92" s="7">
        <v>2450000</v>
      </c>
      <c r="H92" s="11">
        <v>45989</v>
      </c>
      <c r="I92" s="4" t="s">
        <v>736</v>
      </c>
    </row>
    <row r="93" spans="1:9" ht="30">
      <c r="A93" s="3" t="s">
        <v>737</v>
      </c>
      <c r="B93" s="21" t="s">
        <v>328</v>
      </c>
      <c r="C93" s="17" t="s">
        <v>13</v>
      </c>
      <c r="D93" s="3" t="s">
        <v>566</v>
      </c>
      <c r="E93" s="28">
        <v>45948</v>
      </c>
      <c r="F93" s="4">
        <f t="shared" ca="1" si="1"/>
        <v>81</v>
      </c>
      <c r="G93" s="6">
        <v>3210000</v>
      </c>
      <c r="H93" s="9">
        <v>46027</v>
      </c>
      <c r="I93" s="3" t="s">
        <v>738</v>
      </c>
    </row>
    <row r="94" spans="1:9" ht="30">
      <c r="A94" s="3" t="s">
        <v>739</v>
      </c>
      <c r="B94" s="21" t="s">
        <v>377</v>
      </c>
      <c r="C94" s="17" t="s">
        <v>16</v>
      </c>
      <c r="D94" s="3" t="s">
        <v>566</v>
      </c>
      <c r="E94" s="28">
        <v>45960</v>
      </c>
      <c r="F94" s="4">
        <f t="shared" ca="1" si="1"/>
        <v>69</v>
      </c>
      <c r="G94" s="6">
        <v>1290000</v>
      </c>
      <c r="H94" s="9">
        <v>46011</v>
      </c>
      <c r="I94" s="3" t="s">
        <v>740</v>
      </c>
    </row>
    <row r="95" spans="1:9" ht="30">
      <c r="A95" s="10" t="s">
        <v>741</v>
      </c>
      <c r="B95" s="32" t="s">
        <v>174</v>
      </c>
      <c r="C95" s="16" t="s">
        <v>6</v>
      </c>
      <c r="D95" s="4" t="s">
        <v>583</v>
      </c>
      <c r="E95" s="11">
        <v>45966</v>
      </c>
      <c r="F95" s="4">
        <f t="shared" ca="1" si="1"/>
        <v>63</v>
      </c>
      <c r="G95" s="7">
        <v>1520000</v>
      </c>
      <c r="H95" s="11">
        <v>46032</v>
      </c>
      <c r="I95" s="4" t="s">
        <v>742</v>
      </c>
    </row>
    <row r="96" spans="1:9" ht="30">
      <c r="A96" s="10" t="s">
        <v>743</v>
      </c>
      <c r="B96" s="32" t="s">
        <v>174</v>
      </c>
      <c r="C96" s="16" t="s">
        <v>6</v>
      </c>
      <c r="D96" s="4" t="s">
        <v>583</v>
      </c>
      <c r="E96" s="11">
        <v>45958</v>
      </c>
      <c r="F96" s="4">
        <f t="shared" ca="1" si="1"/>
        <v>71</v>
      </c>
      <c r="G96" s="7">
        <v>2680000</v>
      </c>
      <c r="H96" s="11">
        <v>46054</v>
      </c>
      <c r="I96" s="4" t="s">
        <v>744</v>
      </c>
    </row>
    <row r="97" spans="1:9" ht="30">
      <c r="A97" s="10" t="s">
        <v>745</v>
      </c>
      <c r="B97" s="32" t="s">
        <v>186</v>
      </c>
      <c r="C97" s="16" t="s">
        <v>6</v>
      </c>
      <c r="D97" s="4" t="s">
        <v>583</v>
      </c>
      <c r="E97" s="11">
        <v>45962</v>
      </c>
      <c r="F97" s="4">
        <f t="shared" ca="1" si="1"/>
        <v>67</v>
      </c>
      <c r="G97" s="7">
        <v>980000</v>
      </c>
      <c r="H97" s="11">
        <v>46016</v>
      </c>
      <c r="I97" s="4" t="s">
        <v>746</v>
      </c>
    </row>
    <row r="98" spans="1:9" ht="30">
      <c r="A98" s="10" t="s">
        <v>747</v>
      </c>
      <c r="B98" s="32" t="s">
        <v>186</v>
      </c>
      <c r="C98" s="16" t="s">
        <v>6</v>
      </c>
      <c r="D98" s="4" t="s">
        <v>583</v>
      </c>
      <c r="E98" s="11">
        <v>45952</v>
      </c>
      <c r="F98" s="4">
        <f t="shared" ca="1" si="1"/>
        <v>77</v>
      </c>
      <c r="G98" s="7">
        <v>3450000</v>
      </c>
      <c r="H98" s="11">
        <v>46096</v>
      </c>
      <c r="I98" s="4" t="s">
        <v>748</v>
      </c>
    </row>
    <row r="100" spans="1:9">
      <c r="E100" s="29"/>
      <c r="I100" s="2"/>
    </row>
    <row r="101" spans="1:9">
      <c r="E101" s="15"/>
      <c r="I101" s="14"/>
    </row>
    <row r="102" spans="1:9">
      <c r="E102" s="15"/>
      <c r="I102" s="14"/>
    </row>
    <row r="103" spans="1:9">
      <c r="E103" s="15"/>
      <c r="I103" s="14"/>
    </row>
    <row r="104" spans="1:9">
      <c r="E104" s="15"/>
      <c r="I104" s="14"/>
    </row>
    <row r="105" spans="1:9">
      <c r="E105" s="15"/>
      <c r="I105" s="14"/>
    </row>
    <row r="106" spans="1:9">
      <c r="E106" s="29"/>
      <c r="I106" s="14"/>
    </row>
    <row r="107" spans="1:9">
      <c r="E107" s="29"/>
      <c r="I107" s="14"/>
    </row>
    <row r="108" spans="1:9">
      <c r="A108" s="14"/>
      <c r="B108" s="14"/>
      <c r="E108" s="15"/>
      <c r="I108" s="14"/>
    </row>
    <row r="109" spans="1:9">
      <c r="A109" s="14"/>
      <c r="B109" s="14"/>
      <c r="E109" s="15"/>
      <c r="I109" s="14"/>
    </row>
    <row r="110" spans="1:9">
      <c r="A110" s="14"/>
      <c r="B110" s="14"/>
      <c r="E110" s="15"/>
      <c r="I110" s="14"/>
    </row>
    <row r="111" spans="1:9">
      <c r="A111" s="14"/>
      <c r="B111" s="14"/>
      <c r="E111" s="15"/>
      <c r="I111" s="14"/>
    </row>
    <row r="112" spans="1:9">
      <c r="A112" s="14"/>
      <c r="B112" s="14"/>
      <c r="E112" s="15"/>
      <c r="I112" s="14"/>
    </row>
    <row r="113" spans="1:9">
      <c r="A113" s="14"/>
      <c r="B113" s="14"/>
      <c r="E113" s="15"/>
      <c r="I113" s="14"/>
    </row>
    <row r="114" spans="1:9">
      <c r="A114" s="14"/>
      <c r="B114" s="14"/>
      <c r="E114" s="15"/>
      <c r="I114" s="14"/>
    </row>
    <row r="115" spans="1:9">
      <c r="A115" s="14"/>
      <c r="B115" s="14"/>
      <c r="E115" s="15"/>
      <c r="I115" s="14"/>
    </row>
    <row r="116" spans="1:9">
      <c r="A116" s="14"/>
      <c r="B116" s="14"/>
      <c r="E116" s="15"/>
      <c r="I116" s="14"/>
    </row>
    <row r="117" spans="1:9">
      <c r="A117" s="14"/>
      <c r="B117" s="14"/>
      <c r="E117" s="15"/>
      <c r="I117" s="14"/>
    </row>
    <row r="118" spans="1:9">
      <c r="A118" s="14"/>
      <c r="B118" s="14"/>
      <c r="E118" s="15"/>
      <c r="I118" s="14"/>
    </row>
    <row r="119" spans="1:9">
      <c r="A119" s="14"/>
      <c r="B119" s="14"/>
      <c r="E119" s="15"/>
      <c r="I119" s="14"/>
    </row>
    <row r="120" spans="1:9">
      <c r="A120" s="14"/>
      <c r="B120" s="14"/>
      <c r="E120" s="15"/>
      <c r="I120" s="14"/>
    </row>
    <row r="121" spans="1:9">
      <c r="A121" s="14"/>
      <c r="B121" s="14"/>
      <c r="E121" s="15"/>
      <c r="I121" s="14"/>
    </row>
    <row r="122" spans="1:9">
      <c r="A122" s="14"/>
      <c r="B122" s="14"/>
      <c r="E122" s="15"/>
    </row>
    <row r="123" spans="1:9">
      <c r="A123" s="14"/>
      <c r="B123" s="14"/>
      <c r="E123" s="15"/>
    </row>
    <row r="124" spans="1:9">
      <c r="A124" s="14"/>
      <c r="B124" s="14"/>
      <c r="E124" s="15"/>
    </row>
    <row r="125" spans="1:9">
      <c r="A125" s="14"/>
      <c r="B125" s="14"/>
      <c r="E125" s="15"/>
    </row>
    <row r="126" spans="1:9">
      <c r="A126" s="14"/>
      <c r="B126" s="14"/>
      <c r="E126" s="15"/>
    </row>
    <row r="127" spans="1:9">
      <c r="A127" s="14"/>
      <c r="B127" s="14"/>
      <c r="E127" s="15"/>
    </row>
    <row r="128" spans="1:9">
      <c r="A128" s="14"/>
      <c r="B128" s="14"/>
      <c r="E128" s="15"/>
    </row>
    <row r="129" spans="1:5">
      <c r="A129" s="14"/>
      <c r="B129" s="14"/>
      <c r="E129" s="15"/>
    </row>
    <row r="130" spans="1:5">
      <c r="A130" s="14"/>
      <c r="B130" s="14"/>
      <c r="E130" s="15"/>
    </row>
    <row r="131" spans="1:5">
      <c r="A131" s="14"/>
      <c r="B131" s="14"/>
      <c r="E131" s="15"/>
    </row>
    <row r="132" spans="1:5">
      <c r="A132" s="14"/>
      <c r="B132" s="14"/>
      <c r="E132" s="15"/>
    </row>
  </sheetData>
  <autoFilter ref="A1:I98" xr:uid="{00000000-0009-0000-0000-000003000000}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zoomScale="140" zoomScaleNormal="140" workbookViewId="0">
      <selection activeCell="E8" sqref="E8"/>
    </sheetView>
    <sheetView workbookViewId="1">
      <selection activeCell="F10" sqref="F10"/>
    </sheetView>
  </sheetViews>
  <sheetFormatPr defaultColWidth="21.7109375" defaultRowHeight="15"/>
  <cols>
    <col min="1" max="1" width="10.7109375" customWidth="1"/>
    <col min="2" max="3" width="13.7109375" customWidth="1"/>
    <col min="4" max="4" width="89.5703125" customWidth="1"/>
  </cols>
  <sheetData>
    <row r="1" spans="1:4" s="19" customFormat="1">
      <c r="A1" s="1" t="s">
        <v>544</v>
      </c>
      <c r="B1" s="1" t="s">
        <v>749</v>
      </c>
      <c r="C1" s="1" t="s">
        <v>750</v>
      </c>
      <c r="D1" s="1" t="s">
        <v>751</v>
      </c>
    </row>
    <row r="2" spans="1:4" s="20" customFormat="1">
      <c r="A2" s="4" t="s">
        <v>551</v>
      </c>
      <c r="B2" s="4" t="s">
        <v>939</v>
      </c>
      <c r="C2" s="16" t="s">
        <v>6</v>
      </c>
      <c r="D2" s="4" t="s">
        <v>752</v>
      </c>
    </row>
    <row r="3" spans="1:4">
      <c r="A3" s="4" t="s">
        <v>563</v>
      </c>
      <c r="B3" s="4" t="s">
        <v>940</v>
      </c>
      <c r="C3" s="4" t="s">
        <v>6</v>
      </c>
      <c r="D3" s="4" t="s">
        <v>755</v>
      </c>
    </row>
    <row r="4" spans="1:4" s="20" customFormat="1">
      <c r="A4" s="3" t="s">
        <v>570</v>
      </c>
      <c r="B4" s="3" t="s">
        <v>941</v>
      </c>
      <c r="C4" s="3" t="s">
        <v>13</v>
      </c>
      <c r="D4" s="3" t="s">
        <v>758</v>
      </c>
    </row>
    <row r="5" spans="1:4">
      <c r="A5" s="4" t="s">
        <v>578</v>
      </c>
      <c r="B5" s="4" t="s">
        <v>942</v>
      </c>
      <c r="C5" s="4" t="s">
        <v>10</v>
      </c>
      <c r="D5" s="4" t="s">
        <v>761</v>
      </c>
    </row>
    <row r="6" spans="1:4" s="20" customFormat="1">
      <c r="A6" s="3" t="s">
        <v>587</v>
      </c>
      <c r="B6" s="3" t="s">
        <v>943</v>
      </c>
      <c r="C6" s="3" t="s">
        <v>13</v>
      </c>
      <c r="D6" s="3" t="s">
        <v>764</v>
      </c>
    </row>
    <row r="7" spans="1:4">
      <c r="A7" s="3" t="s">
        <v>595</v>
      </c>
      <c r="B7" s="3" t="s">
        <v>944</v>
      </c>
      <c r="C7" s="3" t="s">
        <v>16</v>
      </c>
      <c r="D7" s="3" t="s">
        <v>767</v>
      </c>
    </row>
    <row r="8" spans="1:4">
      <c r="A8" s="3" t="s">
        <v>603</v>
      </c>
      <c r="B8" s="3" t="s">
        <v>945</v>
      </c>
      <c r="C8" s="3" t="s">
        <v>16</v>
      </c>
      <c r="D8" s="3" t="s">
        <v>770</v>
      </c>
    </row>
    <row r="9" spans="1:4">
      <c r="A9" s="3" t="s">
        <v>611</v>
      </c>
      <c r="B9" s="3" t="s">
        <v>946</v>
      </c>
      <c r="C9" s="3" t="s">
        <v>19</v>
      </c>
      <c r="D9" s="3" t="s">
        <v>773</v>
      </c>
    </row>
    <row r="10" spans="1:4">
      <c r="A10" s="3" t="s">
        <v>619</v>
      </c>
      <c r="B10" s="3" t="s">
        <v>947</v>
      </c>
      <c r="C10" s="3" t="s">
        <v>19</v>
      </c>
      <c r="D10" s="3" t="s">
        <v>776</v>
      </c>
    </row>
    <row r="11" spans="1:4">
      <c r="A11" s="5" t="s">
        <v>627</v>
      </c>
      <c r="B11" s="5" t="s">
        <v>948</v>
      </c>
      <c r="C11" s="5" t="s">
        <v>22</v>
      </c>
      <c r="D11" s="5" t="s">
        <v>779</v>
      </c>
    </row>
    <row r="12" spans="1:4">
      <c r="A12" s="5" t="s">
        <v>635</v>
      </c>
      <c r="B12" s="5" t="s">
        <v>949</v>
      </c>
      <c r="C12" s="5" t="s">
        <v>22</v>
      </c>
      <c r="D12" s="5" t="s">
        <v>782</v>
      </c>
    </row>
    <row r="13" spans="1:4">
      <c r="A13" s="5" t="s">
        <v>643</v>
      </c>
      <c r="B13" s="5" t="s">
        <v>950</v>
      </c>
      <c r="C13" s="5" t="s">
        <v>28</v>
      </c>
      <c r="D13" s="5" t="s">
        <v>785</v>
      </c>
    </row>
    <row r="14" spans="1:4">
      <c r="A14" s="4" t="s">
        <v>561</v>
      </c>
      <c r="B14" s="4" t="s">
        <v>951</v>
      </c>
      <c r="C14" s="4" t="s">
        <v>6</v>
      </c>
      <c r="D14" s="4" t="s">
        <v>754</v>
      </c>
    </row>
    <row r="15" spans="1:4">
      <c r="A15" s="4" t="s">
        <v>568</v>
      </c>
      <c r="B15" s="4" t="s">
        <v>952</v>
      </c>
      <c r="C15" s="4" t="s">
        <v>10</v>
      </c>
      <c r="D15" s="4" t="s">
        <v>757</v>
      </c>
    </row>
    <row r="16" spans="1:4">
      <c r="A16" s="4" t="s">
        <v>576</v>
      </c>
      <c r="B16" s="4" t="s">
        <v>953</v>
      </c>
      <c r="C16" s="4" t="s">
        <v>10</v>
      </c>
      <c r="D16" s="4" t="s">
        <v>760</v>
      </c>
    </row>
    <row r="17" spans="1:4">
      <c r="A17" s="3" t="s">
        <v>585</v>
      </c>
      <c r="B17" s="3" t="s">
        <v>954</v>
      </c>
      <c r="C17" s="3" t="s">
        <v>13</v>
      </c>
      <c r="D17" s="3" t="s">
        <v>763</v>
      </c>
    </row>
    <row r="18" spans="1:4">
      <c r="A18" s="3" t="s">
        <v>593</v>
      </c>
      <c r="B18" s="3" t="s">
        <v>955</v>
      </c>
      <c r="C18" s="3" t="s">
        <v>13</v>
      </c>
      <c r="D18" s="3" t="s">
        <v>766</v>
      </c>
    </row>
    <row r="19" spans="1:4" s="20" customFormat="1">
      <c r="A19" s="3" t="s">
        <v>601</v>
      </c>
      <c r="B19" s="3" t="s">
        <v>956</v>
      </c>
      <c r="C19" s="3" t="s">
        <v>16</v>
      </c>
      <c r="D19" s="3" t="s">
        <v>769</v>
      </c>
    </row>
    <row r="20" spans="1:4">
      <c r="A20" s="3" t="s">
        <v>609</v>
      </c>
      <c r="B20" s="3" t="s">
        <v>957</v>
      </c>
      <c r="C20" s="3" t="s">
        <v>19</v>
      </c>
      <c r="D20" s="3" t="s">
        <v>772</v>
      </c>
    </row>
    <row r="21" spans="1:4">
      <c r="A21" s="3" t="s">
        <v>615</v>
      </c>
      <c r="B21" s="3" t="s">
        <v>958</v>
      </c>
      <c r="C21" s="3" t="s">
        <v>19</v>
      </c>
      <c r="D21" s="3" t="s">
        <v>774</v>
      </c>
    </row>
    <row r="22" spans="1:4">
      <c r="A22" s="5" t="s">
        <v>621</v>
      </c>
      <c r="B22" s="5" t="s">
        <v>959</v>
      </c>
      <c r="C22" s="5" t="s">
        <v>22</v>
      </c>
      <c r="D22" s="5" t="s">
        <v>777</v>
      </c>
    </row>
    <row r="23" spans="1:4" s="20" customFormat="1">
      <c r="A23" s="5" t="s">
        <v>629</v>
      </c>
      <c r="B23" s="5" t="s">
        <v>960</v>
      </c>
      <c r="C23" s="5" t="s">
        <v>22</v>
      </c>
      <c r="D23" s="5" t="s">
        <v>780</v>
      </c>
    </row>
    <row r="24" spans="1:4">
      <c r="A24" s="5" t="s">
        <v>639</v>
      </c>
      <c r="B24" s="5" t="s">
        <v>961</v>
      </c>
      <c r="C24" s="5" t="s">
        <v>28</v>
      </c>
      <c r="D24" s="5" t="s">
        <v>783</v>
      </c>
    </row>
    <row r="25" spans="1:4">
      <c r="A25" s="4" t="s">
        <v>645</v>
      </c>
      <c r="B25" s="4" t="s">
        <v>962</v>
      </c>
      <c r="C25" s="16" t="s">
        <v>10</v>
      </c>
      <c r="D25" s="4" t="s">
        <v>786</v>
      </c>
    </row>
    <row r="26" spans="1:4">
      <c r="A26" s="3" t="s">
        <v>556</v>
      </c>
      <c r="B26" s="3" t="s">
        <v>963</v>
      </c>
      <c r="C26" s="3" t="s">
        <v>19</v>
      </c>
      <c r="D26" s="3" t="s">
        <v>753</v>
      </c>
    </row>
    <row r="27" spans="1:4">
      <c r="A27" s="5" t="s">
        <v>572</v>
      </c>
      <c r="B27" s="5" t="s">
        <v>964</v>
      </c>
      <c r="C27" s="5" t="s">
        <v>22</v>
      </c>
      <c r="D27" s="5" t="s">
        <v>759</v>
      </c>
    </row>
    <row r="28" spans="1:4">
      <c r="A28" s="5" t="s">
        <v>580</v>
      </c>
      <c r="B28" s="5" t="s">
        <v>965</v>
      </c>
      <c r="C28" s="5" t="s">
        <v>25</v>
      </c>
      <c r="D28" s="5" t="s">
        <v>762</v>
      </c>
    </row>
    <row r="29" spans="1:4">
      <c r="A29" s="5" t="s">
        <v>597</v>
      </c>
      <c r="B29" s="5" t="s">
        <v>966</v>
      </c>
      <c r="C29" s="5" t="s">
        <v>28</v>
      </c>
      <c r="D29" s="5" t="s">
        <v>768</v>
      </c>
    </row>
    <row r="30" spans="1:4">
      <c r="A30" s="5" t="s">
        <v>607</v>
      </c>
      <c r="B30" s="5" t="s">
        <v>967</v>
      </c>
      <c r="C30" s="5" t="s">
        <v>31</v>
      </c>
      <c r="D30" s="5" t="s">
        <v>771</v>
      </c>
    </row>
    <row r="31" spans="1:4">
      <c r="A31" s="4" t="s">
        <v>623</v>
      </c>
      <c r="B31" s="4" t="s">
        <v>968</v>
      </c>
      <c r="C31" s="4" t="s">
        <v>6</v>
      </c>
      <c r="D31" s="4" t="s">
        <v>778</v>
      </c>
    </row>
    <row r="32" spans="1:4">
      <c r="A32" s="4" t="s">
        <v>633</v>
      </c>
      <c r="B32" s="4" t="s">
        <v>969</v>
      </c>
      <c r="C32" s="4" t="s">
        <v>6</v>
      </c>
      <c r="D32" s="4" t="s">
        <v>781</v>
      </c>
    </row>
    <row r="33" spans="1:4">
      <c r="A33" s="4" t="s">
        <v>647</v>
      </c>
      <c r="B33" s="4" t="s">
        <v>970</v>
      </c>
      <c r="C33" s="16" t="s">
        <v>10</v>
      </c>
      <c r="D33" s="4" t="s">
        <v>787</v>
      </c>
    </row>
    <row r="34" spans="1:4">
      <c r="A34" s="4" t="s">
        <v>565</v>
      </c>
      <c r="B34" s="4" t="s">
        <v>971</v>
      </c>
      <c r="C34" s="4" t="s">
        <v>6</v>
      </c>
      <c r="D34" s="4" t="s">
        <v>756</v>
      </c>
    </row>
    <row r="35" spans="1:4">
      <c r="A35" s="4" t="s">
        <v>591</v>
      </c>
      <c r="B35" s="4" t="s">
        <v>972</v>
      </c>
      <c r="C35" s="4" t="s">
        <v>6</v>
      </c>
      <c r="D35" s="4" t="s">
        <v>765</v>
      </c>
    </row>
    <row r="36" spans="1:4">
      <c r="A36" s="3" t="s">
        <v>617</v>
      </c>
      <c r="B36" s="3" t="s">
        <v>973</v>
      </c>
      <c r="C36" s="3" t="s">
        <v>13</v>
      </c>
      <c r="D36" s="3" t="s">
        <v>775</v>
      </c>
    </row>
    <row r="37" spans="1:4">
      <c r="A37" s="3" t="s">
        <v>641</v>
      </c>
      <c r="B37" s="3" t="s">
        <v>974</v>
      </c>
      <c r="C37" s="3" t="s">
        <v>16</v>
      </c>
      <c r="D37" s="3" t="s">
        <v>784</v>
      </c>
    </row>
    <row r="38" spans="1:4">
      <c r="A38" s="4" t="s">
        <v>691</v>
      </c>
      <c r="B38" s="4" t="s">
        <v>975</v>
      </c>
      <c r="C38" s="16" t="s">
        <v>6</v>
      </c>
      <c r="D38" s="4" t="s">
        <v>788</v>
      </c>
    </row>
    <row r="39" spans="1:4">
      <c r="A39" s="4" t="s">
        <v>693</v>
      </c>
      <c r="B39" s="4" t="s">
        <v>976</v>
      </c>
      <c r="C39" s="16" t="s">
        <v>10</v>
      </c>
      <c r="D39" s="4" t="s">
        <v>789</v>
      </c>
    </row>
    <row r="40" spans="1:4">
      <c r="A40" s="3" t="s">
        <v>695</v>
      </c>
      <c r="B40" s="3" t="s">
        <v>977</v>
      </c>
      <c r="C40" s="17" t="s">
        <v>13</v>
      </c>
      <c r="D40" s="3" t="s">
        <v>790</v>
      </c>
    </row>
    <row r="41" spans="1:4">
      <c r="A41" s="3" t="s">
        <v>697</v>
      </c>
      <c r="B41" s="3" t="s">
        <v>978</v>
      </c>
      <c r="C41" s="17" t="s">
        <v>16</v>
      </c>
      <c r="D41" s="3" t="s">
        <v>791</v>
      </c>
    </row>
    <row r="42" spans="1:4">
      <c r="A42" s="3" t="s">
        <v>699</v>
      </c>
      <c r="B42" s="3" t="s">
        <v>979</v>
      </c>
      <c r="C42" s="17" t="s">
        <v>19</v>
      </c>
      <c r="D42" s="3" t="s">
        <v>792</v>
      </c>
    </row>
    <row r="43" spans="1:4">
      <c r="A43" s="5" t="s">
        <v>701</v>
      </c>
      <c r="B43" s="5" t="s">
        <v>980</v>
      </c>
      <c r="C43" s="18" t="s">
        <v>22</v>
      </c>
      <c r="D43" s="5" t="s">
        <v>793</v>
      </c>
    </row>
    <row r="44" spans="1:4">
      <c r="A44" s="5" t="s">
        <v>703</v>
      </c>
      <c r="B44" s="5" t="s">
        <v>981</v>
      </c>
      <c r="C44" s="18" t="s">
        <v>25</v>
      </c>
      <c r="D44" s="5" t="s">
        <v>794</v>
      </c>
    </row>
    <row r="45" spans="1:4">
      <c r="A45" s="4" t="s">
        <v>705</v>
      </c>
      <c r="B45" s="4" t="s">
        <v>982</v>
      </c>
      <c r="C45" s="16" t="s">
        <v>6</v>
      </c>
      <c r="D45" s="4" t="s">
        <v>795</v>
      </c>
    </row>
    <row r="46" spans="1:4">
      <c r="A46" s="4" t="s">
        <v>707</v>
      </c>
      <c r="B46" s="4" t="s">
        <v>983</v>
      </c>
      <c r="C46" s="16" t="s">
        <v>10</v>
      </c>
      <c r="D46" s="4" t="s">
        <v>796</v>
      </c>
    </row>
    <row r="47" spans="1:4">
      <c r="A47" s="3" t="s">
        <v>709</v>
      </c>
      <c r="B47" s="3" t="s">
        <v>984</v>
      </c>
      <c r="C47" s="17" t="s">
        <v>13</v>
      </c>
      <c r="D47" s="3" t="s">
        <v>797</v>
      </c>
    </row>
    <row r="48" spans="1:4">
      <c r="A48" s="3" t="s">
        <v>711</v>
      </c>
      <c r="B48" s="3" t="s">
        <v>985</v>
      </c>
      <c r="C48" s="17" t="s">
        <v>16</v>
      </c>
      <c r="D48" s="3" t="s">
        <v>798</v>
      </c>
    </row>
    <row r="49" spans="1:4">
      <c r="A49" s="3" t="s">
        <v>713</v>
      </c>
      <c r="B49" s="3" t="s">
        <v>986</v>
      </c>
      <c r="C49" s="17" t="s">
        <v>19</v>
      </c>
      <c r="D49" s="3" t="s">
        <v>799</v>
      </c>
    </row>
    <row r="50" spans="1:4">
      <c r="A50" s="5" t="s">
        <v>715</v>
      </c>
      <c r="B50" s="5" t="s">
        <v>987</v>
      </c>
      <c r="C50" s="18" t="s">
        <v>22</v>
      </c>
      <c r="D50" s="5" t="s">
        <v>800</v>
      </c>
    </row>
    <row r="51" spans="1:4">
      <c r="A51" s="4" t="s">
        <v>717</v>
      </c>
      <c r="B51" s="4" t="s">
        <v>988</v>
      </c>
      <c r="C51" s="16" t="s">
        <v>6</v>
      </c>
      <c r="D51" s="4" t="s">
        <v>801</v>
      </c>
    </row>
    <row r="52" spans="1:4">
      <c r="A52" s="4" t="s">
        <v>719</v>
      </c>
      <c r="B52" s="4" t="s">
        <v>989</v>
      </c>
      <c r="C52" s="16" t="s">
        <v>10</v>
      </c>
      <c r="D52" s="4" t="s">
        <v>802</v>
      </c>
    </row>
    <row r="53" spans="1:4">
      <c r="A53" s="3" t="s">
        <v>721</v>
      </c>
      <c r="B53" s="3" t="s">
        <v>990</v>
      </c>
      <c r="C53" s="17" t="s">
        <v>13</v>
      </c>
      <c r="D53" s="3" t="s">
        <v>803</v>
      </c>
    </row>
    <row r="54" spans="1:4">
      <c r="A54" s="4" t="s">
        <v>723</v>
      </c>
      <c r="B54" s="4" t="s">
        <v>991</v>
      </c>
      <c r="C54" s="16" t="s">
        <v>6</v>
      </c>
      <c r="D54" s="4" t="s">
        <v>804</v>
      </c>
    </row>
    <row r="55" spans="1:4">
      <c r="A55" s="4" t="s">
        <v>725</v>
      </c>
      <c r="B55" s="4" t="s">
        <v>992</v>
      </c>
      <c r="C55" s="16" t="s">
        <v>10</v>
      </c>
      <c r="D55" s="4" t="s">
        <v>805</v>
      </c>
    </row>
    <row r="56" spans="1:4">
      <c r="A56" s="3" t="s">
        <v>727</v>
      </c>
      <c r="B56" s="3" t="s">
        <v>993</v>
      </c>
      <c r="C56" s="17" t="s">
        <v>13</v>
      </c>
      <c r="D56" s="3" t="s">
        <v>806</v>
      </c>
    </row>
    <row r="57" spans="1:4">
      <c r="A57" s="3" t="s">
        <v>729</v>
      </c>
      <c r="B57" s="3" t="s">
        <v>994</v>
      </c>
      <c r="C57" s="17" t="s">
        <v>16</v>
      </c>
      <c r="D57" s="3" t="s">
        <v>807</v>
      </c>
    </row>
    <row r="58" spans="1:4">
      <c r="A58" s="5" t="s">
        <v>731</v>
      </c>
      <c r="B58" s="5" t="s">
        <v>995</v>
      </c>
      <c r="C58" s="18" t="s">
        <v>25</v>
      </c>
      <c r="D58" s="5" t="s">
        <v>808</v>
      </c>
    </row>
  </sheetData>
  <autoFilter ref="A1:D58" xr:uid="{00000000-0009-0000-0000-000004000000}">
    <sortState ref="A2:D58">
      <sortCondition ref="B1:B5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2"/>
  <sheetViews>
    <sheetView topLeftCell="B1" workbookViewId="0">
      <selection activeCell="G1" sqref="G1"/>
    </sheetView>
    <sheetView topLeftCell="A10" workbookViewId="1">
      <selection activeCell="K19" sqref="K19"/>
    </sheetView>
  </sheetViews>
  <sheetFormatPr defaultColWidth="8.85546875" defaultRowHeight="15"/>
  <cols>
    <col min="1" max="1" width="10.7109375" customWidth="1"/>
    <col min="2" max="2" width="13.7109375" customWidth="1"/>
    <col min="3" max="3" width="8.7109375" customWidth="1"/>
    <col min="4" max="4" width="58.28515625" customWidth="1"/>
    <col min="5" max="5" width="8.7109375" customWidth="1"/>
    <col min="6" max="6" width="15.42578125" customWidth="1"/>
    <col min="7" max="7" width="14.85546875" customWidth="1"/>
  </cols>
  <sheetData>
    <row r="1" spans="1:7">
      <c r="A1" s="1" t="s">
        <v>544</v>
      </c>
      <c r="B1" s="1" t="s">
        <v>749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</row>
    <row r="2" spans="1:7">
      <c r="A2" s="4" t="s">
        <v>551</v>
      </c>
      <c r="B2" s="4" t="s">
        <v>939</v>
      </c>
      <c r="C2" s="4">
        <v>1</v>
      </c>
      <c r="D2" s="4" t="s">
        <v>932</v>
      </c>
      <c r="E2" s="4">
        <v>50</v>
      </c>
      <c r="F2" s="7">
        <v>8500</v>
      </c>
      <c r="G2" s="7">
        <v>425000</v>
      </c>
    </row>
    <row r="3" spans="1:7">
      <c r="A3" s="4" t="s">
        <v>551</v>
      </c>
      <c r="B3" s="4" t="s">
        <v>939</v>
      </c>
      <c r="C3" s="4">
        <v>2</v>
      </c>
      <c r="D3" s="4" t="s">
        <v>933</v>
      </c>
      <c r="E3" s="4">
        <v>1</v>
      </c>
      <c r="F3" s="7">
        <v>450000</v>
      </c>
      <c r="G3" s="7">
        <v>450000</v>
      </c>
    </row>
    <row r="4" spans="1:7">
      <c r="A4" s="4" t="s">
        <v>551</v>
      </c>
      <c r="B4" s="4" t="s">
        <v>939</v>
      </c>
      <c r="C4" s="4">
        <v>3</v>
      </c>
      <c r="D4" s="4" t="s">
        <v>934</v>
      </c>
      <c r="E4" s="4">
        <v>1</v>
      </c>
      <c r="F4" s="7">
        <v>375000</v>
      </c>
      <c r="G4" s="7">
        <v>375000</v>
      </c>
    </row>
    <row r="5" spans="1:7">
      <c r="A5" s="4" t="s">
        <v>563</v>
      </c>
      <c r="B5" s="4" t="s">
        <v>940</v>
      </c>
      <c r="C5" s="4">
        <v>1</v>
      </c>
      <c r="D5" s="4" t="s">
        <v>821</v>
      </c>
      <c r="E5" s="4">
        <v>20</v>
      </c>
      <c r="F5" s="7">
        <v>18000</v>
      </c>
      <c r="G5" s="7">
        <v>360000</v>
      </c>
    </row>
    <row r="6" spans="1:7">
      <c r="A6" s="4" t="s">
        <v>563</v>
      </c>
      <c r="B6" s="4" t="s">
        <v>940</v>
      </c>
      <c r="C6" s="4">
        <v>2</v>
      </c>
      <c r="D6" s="4" t="s">
        <v>822</v>
      </c>
      <c r="E6" s="4">
        <v>1</v>
      </c>
      <c r="F6" s="7">
        <v>260000</v>
      </c>
      <c r="G6" s="7">
        <v>260000</v>
      </c>
    </row>
    <row r="7" spans="1:7">
      <c r="A7" s="3" t="s">
        <v>570</v>
      </c>
      <c r="B7" s="3" t="s">
        <v>941</v>
      </c>
      <c r="C7" s="3">
        <v>1</v>
      </c>
      <c r="D7" s="3" t="s">
        <v>828</v>
      </c>
      <c r="E7" s="3">
        <v>15</v>
      </c>
      <c r="F7" s="6">
        <v>65000</v>
      </c>
      <c r="G7" s="6">
        <v>975000</v>
      </c>
    </row>
    <row r="8" spans="1:7">
      <c r="A8" s="3" t="s">
        <v>570</v>
      </c>
      <c r="B8" s="3" t="s">
        <v>941</v>
      </c>
      <c r="C8" s="3">
        <v>2</v>
      </c>
      <c r="D8" s="3" t="s">
        <v>829</v>
      </c>
      <c r="E8" s="3">
        <v>1</v>
      </c>
      <c r="F8" s="6">
        <v>475000</v>
      </c>
      <c r="G8" s="6">
        <v>475000</v>
      </c>
    </row>
    <row r="9" spans="1:7">
      <c r="A9" s="4" t="s">
        <v>578</v>
      </c>
      <c r="B9" s="4" t="s">
        <v>942</v>
      </c>
      <c r="C9" s="4">
        <v>1</v>
      </c>
      <c r="D9" s="4" t="s">
        <v>834</v>
      </c>
      <c r="E9" s="4">
        <v>2</v>
      </c>
      <c r="F9" s="7">
        <v>750000</v>
      </c>
      <c r="G9" s="7">
        <v>1500000</v>
      </c>
    </row>
    <row r="10" spans="1:7">
      <c r="A10" s="4" t="s">
        <v>578</v>
      </c>
      <c r="B10" s="4" t="s">
        <v>942</v>
      </c>
      <c r="C10" s="4">
        <v>2</v>
      </c>
      <c r="D10" s="4" t="s">
        <v>835</v>
      </c>
      <c r="E10" s="4">
        <v>1</v>
      </c>
      <c r="F10" s="7">
        <v>250000</v>
      </c>
      <c r="G10" s="7">
        <v>250000</v>
      </c>
    </row>
    <row r="11" spans="1:7">
      <c r="A11" s="4" t="s">
        <v>578</v>
      </c>
      <c r="B11" s="4" t="s">
        <v>942</v>
      </c>
      <c r="C11" s="4">
        <v>3</v>
      </c>
      <c r="D11" s="4" t="s">
        <v>836</v>
      </c>
      <c r="E11" s="4">
        <v>1</v>
      </c>
      <c r="F11" s="7">
        <v>150000</v>
      </c>
      <c r="G11" s="7">
        <v>150000</v>
      </c>
    </row>
    <row r="12" spans="1:7">
      <c r="A12" s="3" t="s">
        <v>587</v>
      </c>
      <c r="B12" s="3" t="s">
        <v>943</v>
      </c>
      <c r="C12" s="3">
        <v>1</v>
      </c>
      <c r="D12" s="3" t="s">
        <v>841</v>
      </c>
      <c r="E12" s="3">
        <v>30</v>
      </c>
      <c r="F12" s="6">
        <v>4800</v>
      </c>
      <c r="G12" s="6">
        <v>144000</v>
      </c>
    </row>
    <row r="13" spans="1:7">
      <c r="A13" s="3" t="s">
        <v>587</v>
      </c>
      <c r="B13" s="3" t="s">
        <v>943</v>
      </c>
      <c r="C13" s="3">
        <v>2</v>
      </c>
      <c r="D13" s="3" t="s">
        <v>842</v>
      </c>
      <c r="E13" s="3">
        <v>1</v>
      </c>
      <c r="F13" s="6">
        <v>266000</v>
      </c>
      <c r="G13" s="6">
        <v>266000</v>
      </c>
    </row>
    <row r="14" spans="1:7">
      <c r="A14" s="3" t="s">
        <v>595</v>
      </c>
      <c r="B14" s="3" t="s">
        <v>944</v>
      </c>
      <c r="C14" s="3">
        <v>1</v>
      </c>
      <c r="D14" s="3" t="s">
        <v>847</v>
      </c>
      <c r="E14" s="3">
        <v>1</v>
      </c>
      <c r="F14" s="6">
        <v>1600000</v>
      </c>
      <c r="G14" s="6">
        <v>1600000</v>
      </c>
    </row>
    <row r="15" spans="1:7">
      <c r="A15" s="3" t="s">
        <v>595</v>
      </c>
      <c r="B15" s="3" t="s">
        <v>944</v>
      </c>
      <c r="C15" s="3">
        <v>2</v>
      </c>
      <c r="D15" s="3" t="s">
        <v>848</v>
      </c>
      <c r="E15" s="3">
        <v>1</v>
      </c>
      <c r="F15" s="6">
        <v>900000</v>
      </c>
      <c r="G15" s="6">
        <v>900000</v>
      </c>
    </row>
    <row r="16" spans="1:7">
      <c r="A16" s="3" t="s">
        <v>603</v>
      </c>
      <c r="B16" s="3" t="s">
        <v>945</v>
      </c>
      <c r="C16" s="3">
        <v>1</v>
      </c>
      <c r="D16" s="3" t="s">
        <v>853</v>
      </c>
      <c r="E16" s="3">
        <v>8</v>
      </c>
      <c r="F16" s="6">
        <v>48000</v>
      </c>
      <c r="G16" s="6">
        <v>384000</v>
      </c>
    </row>
    <row r="17" spans="1:7">
      <c r="A17" s="3" t="s">
        <v>603</v>
      </c>
      <c r="B17" s="3" t="s">
        <v>945</v>
      </c>
      <c r="C17" s="3">
        <v>2</v>
      </c>
      <c r="D17" s="3" t="s">
        <v>854</v>
      </c>
      <c r="E17" s="3">
        <v>1</v>
      </c>
      <c r="F17" s="6">
        <v>756000</v>
      </c>
      <c r="G17" s="6">
        <v>756000</v>
      </c>
    </row>
    <row r="18" spans="1:7">
      <c r="A18" s="3" t="s">
        <v>611</v>
      </c>
      <c r="B18" s="3" t="s">
        <v>946</v>
      </c>
      <c r="C18" s="3">
        <v>1</v>
      </c>
      <c r="D18" s="3" t="s">
        <v>859</v>
      </c>
      <c r="E18" s="3">
        <v>200</v>
      </c>
      <c r="F18" s="6">
        <v>1200</v>
      </c>
      <c r="G18" s="6">
        <v>240000</v>
      </c>
    </row>
    <row r="19" spans="1:7">
      <c r="A19" s="3" t="s">
        <v>611</v>
      </c>
      <c r="B19" s="3" t="s">
        <v>946</v>
      </c>
      <c r="C19" s="3">
        <v>2</v>
      </c>
      <c r="D19" s="3" t="s">
        <v>860</v>
      </c>
      <c r="E19" s="3">
        <v>1</v>
      </c>
      <c r="F19" s="6">
        <v>2300000</v>
      </c>
      <c r="G19" s="6">
        <v>2300000</v>
      </c>
    </row>
    <row r="20" spans="1:7">
      <c r="A20" s="3" t="s">
        <v>611</v>
      </c>
      <c r="B20" s="3" t="s">
        <v>946</v>
      </c>
      <c r="C20" s="3">
        <v>3</v>
      </c>
      <c r="D20" s="3" t="s">
        <v>861</v>
      </c>
      <c r="E20" s="3">
        <v>1</v>
      </c>
      <c r="F20" s="6">
        <v>960000</v>
      </c>
      <c r="G20" s="6">
        <v>960000</v>
      </c>
    </row>
    <row r="21" spans="1:7">
      <c r="A21" s="3" t="s">
        <v>619</v>
      </c>
      <c r="B21" s="3" t="s">
        <v>947</v>
      </c>
      <c r="C21" s="3">
        <v>1</v>
      </c>
      <c r="D21" s="3" t="s">
        <v>866</v>
      </c>
      <c r="E21" s="3">
        <v>100</v>
      </c>
      <c r="F21" s="6">
        <v>1800</v>
      </c>
      <c r="G21" s="6">
        <v>180000</v>
      </c>
    </row>
    <row r="22" spans="1:7">
      <c r="A22" s="3" t="s">
        <v>619</v>
      </c>
      <c r="B22" s="3" t="s">
        <v>947</v>
      </c>
      <c r="C22" s="3">
        <v>2</v>
      </c>
      <c r="D22" s="3" t="s">
        <v>867</v>
      </c>
      <c r="E22" s="3">
        <v>1</v>
      </c>
      <c r="F22" s="6">
        <v>1870000</v>
      </c>
      <c r="G22" s="6">
        <v>1870000</v>
      </c>
    </row>
    <row r="23" spans="1:7">
      <c r="A23" s="5" t="s">
        <v>627</v>
      </c>
      <c r="B23" s="5" t="s">
        <v>948</v>
      </c>
      <c r="C23" s="5">
        <v>1</v>
      </c>
      <c r="D23" s="5" t="s">
        <v>872</v>
      </c>
      <c r="E23" s="5">
        <v>25</v>
      </c>
      <c r="F23" s="8">
        <v>38000</v>
      </c>
      <c r="G23" s="8">
        <v>950000</v>
      </c>
    </row>
    <row r="24" spans="1:7">
      <c r="A24" s="5" t="s">
        <v>627</v>
      </c>
      <c r="B24" s="5" t="s">
        <v>948</v>
      </c>
      <c r="C24" s="5">
        <v>2</v>
      </c>
      <c r="D24" s="5" t="s">
        <v>873</v>
      </c>
      <c r="E24" s="5">
        <v>1</v>
      </c>
      <c r="F24" s="8">
        <v>910000</v>
      </c>
      <c r="G24" s="8">
        <v>910000</v>
      </c>
    </row>
    <row r="25" spans="1:7">
      <c r="A25" s="5" t="s">
        <v>635</v>
      </c>
      <c r="B25" s="5" t="s">
        <v>949</v>
      </c>
      <c r="C25" s="5">
        <v>1</v>
      </c>
      <c r="D25" s="5" t="s">
        <v>878</v>
      </c>
      <c r="E25" s="5">
        <v>15</v>
      </c>
      <c r="F25" s="8">
        <v>28000</v>
      </c>
      <c r="G25" s="8">
        <v>420000</v>
      </c>
    </row>
    <row r="26" spans="1:7">
      <c r="A26" s="5" t="s">
        <v>635</v>
      </c>
      <c r="B26" s="5" t="s">
        <v>949</v>
      </c>
      <c r="C26" s="5">
        <v>2</v>
      </c>
      <c r="D26" s="5" t="s">
        <v>879</v>
      </c>
      <c r="E26" s="5">
        <v>1</v>
      </c>
      <c r="F26" s="8">
        <v>360000</v>
      </c>
      <c r="G26" s="8">
        <v>360000</v>
      </c>
    </row>
    <row r="27" spans="1:7">
      <c r="A27" s="5" t="s">
        <v>643</v>
      </c>
      <c r="B27" s="5" t="s">
        <v>950</v>
      </c>
      <c r="C27" s="5">
        <v>1</v>
      </c>
      <c r="D27" s="5" t="s">
        <v>884</v>
      </c>
      <c r="E27" s="5">
        <v>3</v>
      </c>
      <c r="F27" s="8">
        <v>580000</v>
      </c>
      <c r="G27" s="8">
        <v>1740000</v>
      </c>
    </row>
    <row r="28" spans="1:7">
      <c r="A28" s="5" t="s">
        <v>643</v>
      </c>
      <c r="B28" s="5" t="s">
        <v>950</v>
      </c>
      <c r="C28" s="5">
        <v>2</v>
      </c>
      <c r="D28" s="5" t="s">
        <v>885</v>
      </c>
      <c r="E28" s="5">
        <v>1</v>
      </c>
      <c r="F28" s="8">
        <v>480000</v>
      </c>
      <c r="G28" s="8">
        <v>480000</v>
      </c>
    </row>
    <row r="29" spans="1:7">
      <c r="A29" s="4" t="s">
        <v>553</v>
      </c>
      <c r="B29" s="4" t="s">
        <v>996</v>
      </c>
      <c r="C29" s="4">
        <v>1</v>
      </c>
      <c r="D29" s="4" t="s">
        <v>814</v>
      </c>
      <c r="E29" s="4">
        <v>10</v>
      </c>
      <c r="F29" s="7">
        <v>62000</v>
      </c>
      <c r="G29" s="7">
        <v>620000</v>
      </c>
    </row>
    <row r="30" spans="1:7">
      <c r="A30" s="4" t="s">
        <v>553</v>
      </c>
      <c r="B30" s="4" t="s">
        <v>996</v>
      </c>
      <c r="C30" s="4">
        <v>2</v>
      </c>
      <c r="D30" s="4" t="s">
        <v>815</v>
      </c>
      <c r="E30" s="4">
        <v>1</v>
      </c>
      <c r="F30" s="7">
        <v>230000</v>
      </c>
      <c r="G30" s="7">
        <v>230000</v>
      </c>
    </row>
    <row r="31" spans="1:7">
      <c r="A31" s="4" t="s">
        <v>561</v>
      </c>
      <c r="B31" s="4" t="s">
        <v>951</v>
      </c>
      <c r="C31" s="4">
        <v>1</v>
      </c>
      <c r="D31" s="4" t="s">
        <v>818</v>
      </c>
      <c r="E31" s="4">
        <v>12</v>
      </c>
      <c r="F31" s="7">
        <v>75000</v>
      </c>
      <c r="G31" s="7">
        <v>900000</v>
      </c>
    </row>
    <row r="32" spans="1:7">
      <c r="A32" s="4" t="s">
        <v>561</v>
      </c>
      <c r="B32" s="4" t="s">
        <v>951</v>
      </c>
      <c r="C32" s="4">
        <v>2</v>
      </c>
      <c r="D32" s="4" t="s">
        <v>819</v>
      </c>
      <c r="E32" s="4">
        <v>1</v>
      </c>
      <c r="F32" s="7">
        <v>600000</v>
      </c>
      <c r="G32" s="7">
        <v>600000</v>
      </c>
    </row>
    <row r="33" spans="1:7">
      <c r="A33" s="4" t="s">
        <v>561</v>
      </c>
      <c r="B33" s="4" t="s">
        <v>951</v>
      </c>
      <c r="C33" s="4">
        <v>3</v>
      </c>
      <c r="D33" s="4" t="s">
        <v>820</v>
      </c>
      <c r="E33" s="4">
        <v>1</v>
      </c>
      <c r="F33" s="7">
        <v>300000</v>
      </c>
      <c r="G33" s="7">
        <v>300000</v>
      </c>
    </row>
    <row r="34" spans="1:7">
      <c r="A34" s="4" t="s">
        <v>568</v>
      </c>
      <c r="B34" s="4" t="s">
        <v>952</v>
      </c>
      <c r="C34" s="4">
        <v>1</v>
      </c>
      <c r="D34" s="4" t="s">
        <v>826</v>
      </c>
      <c r="E34" s="4">
        <v>4</v>
      </c>
      <c r="F34" s="7">
        <v>195000</v>
      </c>
      <c r="G34" s="7">
        <v>780000</v>
      </c>
    </row>
    <row r="35" spans="1:7">
      <c r="A35" s="4" t="s">
        <v>568</v>
      </c>
      <c r="B35" s="4" t="s">
        <v>952</v>
      </c>
      <c r="C35" s="4">
        <v>2</v>
      </c>
      <c r="D35" s="4" t="s">
        <v>827</v>
      </c>
      <c r="E35" s="4">
        <v>1</v>
      </c>
      <c r="F35" s="7">
        <v>200000</v>
      </c>
      <c r="G35" s="7">
        <v>200000</v>
      </c>
    </row>
    <row r="36" spans="1:7">
      <c r="A36" s="4" t="s">
        <v>576</v>
      </c>
      <c r="B36" s="4" t="s">
        <v>953</v>
      </c>
      <c r="C36" s="4">
        <v>1</v>
      </c>
      <c r="D36" s="4" t="s">
        <v>832</v>
      </c>
      <c r="E36" s="4">
        <v>50</v>
      </c>
      <c r="F36" s="7">
        <v>3200</v>
      </c>
      <c r="G36" s="7">
        <v>160000</v>
      </c>
    </row>
    <row r="37" spans="1:7">
      <c r="A37" s="4" t="s">
        <v>576</v>
      </c>
      <c r="B37" s="4" t="s">
        <v>953</v>
      </c>
      <c r="C37" s="4">
        <v>2</v>
      </c>
      <c r="D37" s="4" t="s">
        <v>833</v>
      </c>
      <c r="E37" s="4">
        <v>1</v>
      </c>
      <c r="F37" s="7">
        <v>590000</v>
      </c>
      <c r="G37" s="7">
        <v>590000</v>
      </c>
    </row>
    <row r="38" spans="1:7">
      <c r="A38" s="3" t="s">
        <v>585</v>
      </c>
      <c r="B38" s="3" t="s">
        <v>954</v>
      </c>
      <c r="C38" s="3">
        <v>1</v>
      </c>
      <c r="D38" s="3" t="s">
        <v>839</v>
      </c>
      <c r="E38" s="3">
        <v>5</v>
      </c>
      <c r="F38" s="6">
        <v>295000</v>
      </c>
      <c r="G38" s="6">
        <v>1475000</v>
      </c>
    </row>
    <row r="39" spans="1:7">
      <c r="A39" s="3" t="s">
        <v>585</v>
      </c>
      <c r="B39" s="3" t="s">
        <v>954</v>
      </c>
      <c r="C39" s="3">
        <v>2</v>
      </c>
      <c r="D39" s="3" t="s">
        <v>840</v>
      </c>
      <c r="E39" s="3">
        <v>1</v>
      </c>
      <c r="F39" s="6">
        <v>475000</v>
      </c>
      <c r="G39" s="6">
        <v>475000</v>
      </c>
    </row>
    <row r="40" spans="1:7">
      <c r="A40" s="3" t="s">
        <v>593</v>
      </c>
      <c r="B40" s="3" t="s">
        <v>955</v>
      </c>
      <c r="C40" s="3">
        <v>1</v>
      </c>
      <c r="D40" s="3" t="s">
        <v>845</v>
      </c>
      <c r="E40" s="3">
        <v>80</v>
      </c>
      <c r="F40" s="6">
        <v>2800</v>
      </c>
      <c r="G40" s="6">
        <v>224000</v>
      </c>
    </row>
    <row r="41" spans="1:7">
      <c r="A41" s="3" t="s">
        <v>593</v>
      </c>
      <c r="B41" s="3" t="s">
        <v>955</v>
      </c>
      <c r="C41" s="3">
        <v>2</v>
      </c>
      <c r="D41" s="3" t="s">
        <v>846</v>
      </c>
      <c r="E41" s="3">
        <v>1</v>
      </c>
      <c r="F41" s="6">
        <v>1106000</v>
      </c>
      <c r="G41" s="6">
        <v>1106000</v>
      </c>
    </row>
    <row r="42" spans="1:7">
      <c r="A42" s="3" t="s">
        <v>601</v>
      </c>
      <c r="B42" s="3" t="s">
        <v>956</v>
      </c>
      <c r="C42" s="3">
        <v>1</v>
      </c>
      <c r="D42" s="3" t="s">
        <v>851</v>
      </c>
      <c r="E42" s="3">
        <v>10</v>
      </c>
      <c r="F42" s="6">
        <v>38000</v>
      </c>
      <c r="G42" s="6">
        <v>380000</v>
      </c>
    </row>
    <row r="43" spans="1:7">
      <c r="A43" s="3" t="s">
        <v>601</v>
      </c>
      <c r="B43" s="3" t="s">
        <v>956</v>
      </c>
      <c r="C43" s="3">
        <v>2</v>
      </c>
      <c r="D43" s="3" t="s">
        <v>852</v>
      </c>
      <c r="E43" s="3">
        <v>1</v>
      </c>
      <c r="F43" s="6">
        <v>1220000</v>
      </c>
      <c r="G43" s="6">
        <v>1220000</v>
      </c>
    </row>
    <row r="44" spans="1:7">
      <c r="A44" s="3" t="s">
        <v>609</v>
      </c>
      <c r="B44" s="3" t="s">
        <v>957</v>
      </c>
      <c r="C44" s="3">
        <v>1</v>
      </c>
      <c r="D44" s="3" t="s">
        <v>857</v>
      </c>
      <c r="E44" s="3">
        <v>2</v>
      </c>
      <c r="F44" s="6">
        <v>720000</v>
      </c>
      <c r="G44" s="6">
        <v>1440000</v>
      </c>
    </row>
    <row r="45" spans="1:7">
      <c r="A45" s="3" t="s">
        <v>609</v>
      </c>
      <c r="B45" s="3" t="s">
        <v>957</v>
      </c>
      <c r="C45" s="3">
        <v>2</v>
      </c>
      <c r="D45" s="3" t="s">
        <v>858</v>
      </c>
      <c r="E45" s="3">
        <v>1</v>
      </c>
      <c r="F45" s="6">
        <v>330000</v>
      </c>
      <c r="G45" s="6">
        <v>330000</v>
      </c>
    </row>
    <row r="46" spans="1:7">
      <c r="A46" s="3" t="s">
        <v>615</v>
      </c>
      <c r="B46" s="3" t="s">
        <v>958</v>
      </c>
      <c r="C46" s="3">
        <v>1</v>
      </c>
      <c r="D46" s="3" t="s">
        <v>862</v>
      </c>
      <c r="E46" s="3">
        <v>60</v>
      </c>
      <c r="F46" s="6">
        <v>4800</v>
      </c>
      <c r="G46" s="6">
        <v>288000</v>
      </c>
    </row>
    <row r="47" spans="1:7">
      <c r="A47" s="3" t="s">
        <v>615</v>
      </c>
      <c r="B47" s="3" t="s">
        <v>958</v>
      </c>
      <c r="C47" s="3">
        <v>2</v>
      </c>
      <c r="D47" s="3" t="s">
        <v>863</v>
      </c>
      <c r="E47" s="3">
        <v>1</v>
      </c>
      <c r="F47" s="6">
        <v>1632000</v>
      </c>
      <c r="G47" s="6">
        <v>1632000</v>
      </c>
    </row>
    <row r="48" spans="1:7">
      <c r="A48" s="5" t="s">
        <v>621</v>
      </c>
      <c r="B48" s="5" t="s">
        <v>959</v>
      </c>
      <c r="C48" s="5">
        <v>1</v>
      </c>
      <c r="D48" s="5" t="s">
        <v>868</v>
      </c>
      <c r="E48" s="5">
        <v>8</v>
      </c>
      <c r="F48" s="8">
        <v>68000</v>
      </c>
      <c r="G48" s="8">
        <v>544000</v>
      </c>
    </row>
    <row r="49" spans="1:7">
      <c r="A49" s="5" t="s">
        <v>621</v>
      </c>
      <c r="B49" s="5" t="s">
        <v>959</v>
      </c>
      <c r="C49" s="5">
        <v>2</v>
      </c>
      <c r="D49" s="5" t="s">
        <v>869</v>
      </c>
      <c r="E49" s="5">
        <v>1</v>
      </c>
      <c r="F49" s="8">
        <v>126000</v>
      </c>
      <c r="G49" s="8">
        <v>126000</v>
      </c>
    </row>
    <row r="50" spans="1:7">
      <c r="A50" s="5" t="s">
        <v>629</v>
      </c>
      <c r="B50" s="5" t="s">
        <v>960</v>
      </c>
      <c r="C50" s="5">
        <v>1</v>
      </c>
      <c r="D50" s="5" t="s">
        <v>874</v>
      </c>
      <c r="E50" s="5">
        <v>5</v>
      </c>
      <c r="F50" s="8">
        <v>380000</v>
      </c>
      <c r="G50" s="8">
        <v>1900000</v>
      </c>
    </row>
    <row r="51" spans="1:7">
      <c r="A51" s="5" t="s">
        <v>629</v>
      </c>
      <c r="B51" s="5" t="s">
        <v>960</v>
      </c>
      <c r="C51" s="5">
        <v>2</v>
      </c>
      <c r="D51" s="5" t="s">
        <v>875</v>
      </c>
      <c r="E51" s="5">
        <v>1</v>
      </c>
      <c r="F51" s="8">
        <v>300000</v>
      </c>
      <c r="G51" s="8">
        <v>300000</v>
      </c>
    </row>
    <row r="52" spans="1:7">
      <c r="A52" s="5" t="s">
        <v>639</v>
      </c>
      <c r="B52" s="5" t="s">
        <v>961</v>
      </c>
      <c r="C52" s="5">
        <v>1</v>
      </c>
      <c r="D52" s="5" t="s">
        <v>880</v>
      </c>
      <c r="E52" s="5">
        <v>6</v>
      </c>
      <c r="F52" s="8">
        <v>85000</v>
      </c>
      <c r="G52" s="8">
        <v>510000</v>
      </c>
    </row>
    <row r="53" spans="1:7">
      <c r="A53" s="5" t="s">
        <v>639</v>
      </c>
      <c r="B53" s="5" t="s">
        <v>961</v>
      </c>
      <c r="C53" s="5">
        <v>2</v>
      </c>
      <c r="D53" s="5" t="s">
        <v>881</v>
      </c>
      <c r="E53" s="5">
        <v>1</v>
      </c>
      <c r="F53" s="8">
        <v>180000</v>
      </c>
      <c r="G53" s="8">
        <v>180000</v>
      </c>
    </row>
    <row r="54" spans="1:7">
      <c r="A54" s="4" t="s">
        <v>645</v>
      </c>
      <c r="B54" s="4" t="s">
        <v>962</v>
      </c>
      <c r="C54" s="4">
        <v>1</v>
      </c>
      <c r="D54" s="4" t="s">
        <v>886</v>
      </c>
      <c r="E54" s="4">
        <v>120</v>
      </c>
      <c r="F54" s="7">
        <v>1800</v>
      </c>
      <c r="G54" s="7">
        <v>216000</v>
      </c>
    </row>
    <row r="55" spans="1:7">
      <c r="A55" s="4" t="s">
        <v>645</v>
      </c>
      <c r="B55" s="4" t="s">
        <v>962</v>
      </c>
      <c r="C55" s="4">
        <v>2</v>
      </c>
      <c r="D55" s="4" t="s">
        <v>887</v>
      </c>
      <c r="E55" s="4">
        <v>1</v>
      </c>
      <c r="F55" s="7">
        <v>1354000</v>
      </c>
      <c r="G55" s="7">
        <v>1354000</v>
      </c>
    </row>
    <row r="56" spans="1:7">
      <c r="A56" s="3" t="s">
        <v>556</v>
      </c>
      <c r="B56" s="3" t="s">
        <v>963</v>
      </c>
      <c r="C56" s="3">
        <v>1</v>
      </c>
      <c r="D56" s="3" t="s">
        <v>816</v>
      </c>
      <c r="E56" s="3">
        <v>40</v>
      </c>
      <c r="F56" s="6">
        <v>12500</v>
      </c>
      <c r="G56" s="6">
        <v>500000</v>
      </c>
    </row>
    <row r="57" spans="1:7">
      <c r="A57" s="3" t="s">
        <v>556</v>
      </c>
      <c r="B57" s="3" t="s">
        <v>963</v>
      </c>
      <c r="C57" s="3">
        <v>2</v>
      </c>
      <c r="D57" s="3" t="s">
        <v>817</v>
      </c>
      <c r="E57" s="3">
        <v>1</v>
      </c>
      <c r="F57" s="6">
        <v>700000</v>
      </c>
      <c r="G57" s="6">
        <v>700000</v>
      </c>
    </row>
    <row r="58" spans="1:7">
      <c r="A58" s="5" t="s">
        <v>572</v>
      </c>
      <c r="B58" s="5" t="s">
        <v>964</v>
      </c>
      <c r="C58" s="5">
        <v>1</v>
      </c>
      <c r="D58" s="5" t="s">
        <v>830</v>
      </c>
      <c r="E58" s="5">
        <v>25</v>
      </c>
      <c r="F58" s="8">
        <v>18000</v>
      </c>
      <c r="G58" s="8">
        <v>450000</v>
      </c>
    </row>
    <row r="59" spans="1:7">
      <c r="A59" s="5" t="s">
        <v>572</v>
      </c>
      <c r="B59" s="5" t="s">
        <v>964</v>
      </c>
      <c r="C59" s="5">
        <v>2</v>
      </c>
      <c r="D59" s="5" t="s">
        <v>831</v>
      </c>
      <c r="E59" s="5">
        <v>1</v>
      </c>
      <c r="F59" s="8">
        <v>880000</v>
      </c>
      <c r="G59" s="8">
        <v>880000</v>
      </c>
    </row>
    <row r="60" spans="1:7">
      <c r="A60" s="5" t="s">
        <v>580</v>
      </c>
      <c r="B60" s="5" t="s">
        <v>965</v>
      </c>
      <c r="C60" s="5">
        <v>1</v>
      </c>
      <c r="D60" s="5" t="s">
        <v>837</v>
      </c>
      <c r="E60" s="5">
        <v>35</v>
      </c>
      <c r="F60" s="8">
        <v>22000</v>
      </c>
      <c r="G60" s="8">
        <v>770000</v>
      </c>
    </row>
    <row r="61" spans="1:7">
      <c r="A61" s="5" t="s">
        <v>580</v>
      </c>
      <c r="B61" s="5" t="s">
        <v>965</v>
      </c>
      <c r="C61" s="5">
        <v>2</v>
      </c>
      <c r="D61" s="5" t="s">
        <v>838</v>
      </c>
      <c r="E61" s="5">
        <v>1</v>
      </c>
      <c r="F61" s="8">
        <v>1500000</v>
      </c>
      <c r="G61" s="8">
        <v>1500000</v>
      </c>
    </row>
    <row r="62" spans="1:7">
      <c r="A62" s="5" t="s">
        <v>597</v>
      </c>
      <c r="B62" s="5" t="s">
        <v>966</v>
      </c>
      <c r="C62" s="5">
        <v>1</v>
      </c>
      <c r="D62" s="5" t="s">
        <v>849</v>
      </c>
      <c r="E62" s="5">
        <v>50</v>
      </c>
      <c r="F62" s="8">
        <v>45000</v>
      </c>
      <c r="G62" s="8">
        <f>E62*F62</f>
        <v>2250000</v>
      </c>
    </row>
    <row r="63" spans="1:7">
      <c r="A63" s="5" t="s">
        <v>597</v>
      </c>
      <c r="B63" s="5" t="s">
        <v>966</v>
      </c>
      <c r="C63" s="5">
        <v>2</v>
      </c>
      <c r="D63" s="5" t="s">
        <v>850</v>
      </c>
      <c r="E63" s="5">
        <v>1</v>
      </c>
      <c r="F63" s="8">
        <v>250000</v>
      </c>
      <c r="G63" s="8">
        <v>250000</v>
      </c>
    </row>
    <row r="64" spans="1:7">
      <c r="A64" s="5" t="s">
        <v>607</v>
      </c>
      <c r="B64" s="5" t="s">
        <v>967</v>
      </c>
      <c r="C64" s="5">
        <v>1</v>
      </c>
      <c r="D64" s="5" t="s">
        <v>855</v>
      </c>
      <c r="E64" s="5">
        <v>18</v>
      </c>
      <c r="F64" s="8">
        <v>85000</v>
      </c>
      <c r="G64" s="8">
        <v>1530000</v>
      </c>
    </row>
    <row r="65" spans="1:7">
      <c r="A65" s="5" t="s">
        <v>607</v>
      </c>
      <c r="B65" s="5" t="s">
        <v>967</v>
      </c>
      <c r="C65" s="5">
        <v>2</v>
      </c>
      <c r="D65" s="5" t="s">
        <v>856</v>
      </c>
      <c r="E65" s="5">
        <v>1</v>
      </c>
      <c r="F65" s="8">
        <v>870000</v>
      </c>
      <c r="G65" s="8">
        <v>520000</v>
      </c>
    </row>
    <row r="66" spans="1:7">
      <c r="A66" s="4" t="s">
        <v>623</v>
      </c>
      <c r="B66" s="4" t="s">
        <v>968</v>
      </c>
      <c r="C66" s="4">
        <v>1</v>
      </c>
      <c r="D66" s="4" t="s">
        <v>870</v>
      </c>
      <c r="E66" s="4">
        <v>50</v>
      </c>
      <c r="F66" s="7">
        <v>32000</v>
      </c>
      <c r="G66" s="7">
        <f>F66*E66</f>
        <v>1600000</v>
      </c>
    </row>
    <row r="67" spans="1:7">
      <c r="A67" s="4" t="s">
        <v>623</v>
      </c>
      <c r="B67" s="4" t="s">
        <v>968</v>
      </c>
      <c r="C67" s="4">
        <v>2</v>
      </c>
      <c r="D67" s="4" t="s">
        <v>871</v>
      </c>
      <c r="E67" s="4">
        <v>1</v>
      </c>
      <c r="F67" s="7">
        <v>840000</v>
      </c>
      <c r="G67" s="7">
        <v>1270000</v>
      </c>
    </row>
    <row r="68" spans="1:7">
      <c r="A68" s="4" t="s">
        <v>633</v>
      </c>
      <c r="B68" s="4" t="s">
        <v>969</v>
      </c>
      <c r="C68" s="4">
        <v>1</v>
      </c>
      <c r="D68" s="4" t="s">
        <v>876</v>
      </c>
      <c r="E68" s="4">
        <v>500</v>
      </c>
      <c r="F68" s="7">
        <v>4500</v>
      </c>
      <c r="G68" s="7">
        <f>F68*E68</f>
        <v>2250000</v>
      </c>
    </row>
    <row r="69" spans="1:7">
      <c r="A69" s="4" t="s">
        <v>633</v>
      </c>
      <c r="B69" s="4" t="s">
        <v>969</v>
      </c>
      <c r="C69" s="4">
        <v>2</v>
      </c>
      <c r="D69" s="4" t="s">
        <v>877</v>
      </c>
      <c r="E69" s="4">
        <v>1</v>
      </c>
      <c r="F69" s="7">
        <v>760000</v>
      </c>
      <c r="G69" s="7">
        <v>1670000</v>
      </c>
    </row>
    <row r="70" spans="1:7">
      <c r="A70" s="4" t="s">
        <v>647</v>
      </c>
      <c r="B70" s="4" t="s">
        <v>970</v>
      </c>
      <c r="C70" s="4">
        <v>1</v>
      </c>
      <c r="D70" s="4" t="s">
        <v>888</v>
      </c>
      <c r="E70" s="4">
        <v>50</v>
      </c>
      <c r="F70" s="7">
        <v>48000</v>
      </c>
      <c r="G70" s="7">
        <f>F70*E70</f>
        <v>2400000</v>
      </c>
    </row>
    <row r="71" spans="1:7">
      <c r="A71" s="4" t="s">
        <v>647</v>
      </c>
      <c r="B71" s="4" t="s">
        <v>970</v>
      </c>
      <c r="C71" s="4">
        <v>2</v>
      </c>
      <c r="D71" s="4" t="s">
        <v>889</v>
      </c>
      <c r="E71" s="4">
        <v>1</v>
      </c>
      <c r="F71" s="7">
        <v>390000</v>
      </c>
      <c r="G71" s="7">
        <v>1290000</v>
      </c>
    </row>
    <row r="72" spans="1:7">
      <c r="A72" s="4" t="s">
        <v>565</v>
      </c>
      <c r="B72" s="4" t="s">
        <v>971</v>
      </c>
      <c r="C72" s="4">
        <v>1</v>
      </c>
      <c r="D72" s="4" t="s">
        <v>823</v>
      </c>
      <c r="E72" s="4">
        <v>8</v>
      </c>
      <c r="F72" s="7">
        <v>180000</v>
      </c>
      <c r="G72" s="7">
        <v>1440000</v>
      </c>
    </row>
    <row r="73" spans="1:7">
      <c r="A73" s="4" t="s">
        <v>565</v>
      </c>
      <c r="B73" s="4" t="s">
        <v>971</v>
      </c>
      <c r="C73" s="4">
        <v>2</v>
      </c>
      <c r="D73" s="4" t="s">
        <v>824</v>
      </c>
      <c r="E73" s="4">
        <v>1</v>
      </c>
      <c r="F73" s="7">
        <v>1250000</v>
      </c>
      <c r="G73" s="7">
        <v>1250000</v>
      </c>
    </row>
    <row r="74" spans="1:7">
      <c r="A74" s="4" t="s">
        <v>565</v>
      </c>
      <c r="B74" s="4" t="s">
        <v>971</v>
      </c>
      <c r="C74" s="4">
        <v>3</v>
      </c>
      <c r="D74" s="4" t="s">
        <v>825</v>
      </c>
      <c r="E74" s="4">
        <v>15</v>
      </c>
      <c r="F74" s="7">
        <v>54000</v>
      </c>
      <c r="G74" s="7">
        <v>810000</v>
      </c>
    </row>
    <row r="75" spans="1:7">
      <c r="A75" s="4" t="s">
        <v>591</v>
      </c>
      <c r="B75" s="4" t="s">
        <v>972</v>
      </c>
      <c r="C75" s="4">
        <v>1</v>
      </c>
      <c r="D75" s="4" t="s">
        <v>843</v>
      </c>
      <c r="E75" s="4">
        <v>12</v>
      </c>
      <c r="F75" s="7">
        <v>28000</v>
      </c>
      <c r="G75" s="7">
        <v>336000</v>
      </c>
    </row>
    <row r="76" spans="1:7">
      <c r="A76" s="4" t="s">
        <v>591</v>
      </c>
      <c r="B76" s="4" t="s">
        <v>972</v>
      </c>
      <c r="C76" s="4">
        <v>2</v>
      </c>
      <c r="D76" s="4" t="s">
        <v>844</v>
      </c>
      <c r="E76" s="4">
        <v>1</v>
      </c>
      <c r="F76" s="7">
        <v>554000</v>
      </c>
      <c r="G76" s="7">
        <v>554000</v>
      </c>
    </row>
    <row r="77" spans="1:7">
      <c r="A77" s="3" t="s">
        <v>617</v>
      </c>
      <c r="B77" s="3" t="s">
        <v>973</v>
      </c>
      <c r="C77" s="3">
        <v>1</v>
      </c>
      <c r="D77" s="3" t="s">
        <v>864</v>
      </c>
      <c r="E77" s="3">
        <v>3</v>
      </c>
      <c r="F77" s="6">
        <v>320000</v>
      </c>
      <c r="G77" s="6">
        <v>960000</v>
      </c>
    </row>
    <row r="78" spans="1:7">
      <c r="A78" s="3" t="s">
        <v>617</v>
      </c>
      <c r="B78" s="3" t="s">
        <v>973</v>
      </c>
      <c r="C78" s="3">
        <v>2</v>
      </c>
      <c r="D78" s="3" t="s">
        <v>865</v>
      </c>
      <c r="E78" s="3">
        <v>1</v>
      </c>
      <c r="F78" s="6">
        <v>330000</v>
      </c>
      <c r="G78" s="6">
        <v>330000</v>
      </c>
    </row>
    <row r="79" spans="1:7">
      <c r="A79" s="3" t="s">
        <v>641</v>
      </c>
      <c r="B79" s="3" t="s">
        <v>974</v>
      </c>
      <c r="C79" s="3">
        <v>1</v>
      </c>
      <c r="D79" s="3" t="s">
        <v>882</v>
      </c>
      <c r="E79" s="3">
        <v>25</v>
      </c>
      <c r="F79" s="6">
        <v>38000</v>
      </c>
      <c r="G79" s="6">
        <v>950000</v>
      </c>
    </row>
    <row r="80" spans="1:7">
      <c r="A80" s="3" t="s">
        <v>641</v>
      </c>
      <c r="B80" s="3" t="s">
        <v>974</v>
      </c>
      <c r="C80" s="3">
        <v>2</v>
      </c>
      <c r="D80" s="3" t="s">
        <v>883</v>
      </c>
      <c r="E80" s="3">
        <v>1</v>
      </c>
      <c r="F80" s="6">
        <v>460000</v>
      </c>
      <c r="G80" s="6">
        <v>460000</v>
      </c>
    </row>
    <row r="81" spans="1:7">
      <c r="A81" s="4" t="s">
        <v>691</v>
      </c>
      <c r="B81" s="4" t="s">
        <v>975</v>
      </c>
      <c r="C81" s="4">
        <v>1</v>
      </c>
      <c r="D81" s="4" t="s">
        <v>890</v>
      </c>
      <c r="E81" s="4">
        <v>5</v>
      </c>
      <c r="F81" s="7">
        <v>250000</v>
      </c>
      <c r="G81" s="7">
        <v>1250000</v>
      </c>
    </row>
    <row r="82" spans="1:7">
      <c r="A82" s="4" t="s">
        <v>691</v>
      </c>
      <c r="B82" s="4" t="s">
        <v>975</v>
      </c>
      <c r="C82" s="4">
        <v>2</v>
      </c>
      <c r="D82" s="4" t="s">
        <v>891</v>
      </c>
      <c r="E82" s="4">
        <v>1</v>
      </c>
      <c r="F82" s="7">
        <v>700000</v>
      </c>
      <c r="G82" s="7">
        <v>700000</v>
      </c>
    </row>
    <row r="83" spans="1:7">
      <c r="A83" s="4" t="s">
        <v>693</v>
      </c>
      <c r="B83" s="4" t="s">
        <v>976</v>
      </c>
      <c r="C83" s="4">
        <v>1</v>
      </c>
      <c r="D83" s="4" t="s">
        <v>892</v>
      </c>
      <c r="E83" s="4">
        <v>8</v>
      </c>
      <c r="F83" s="7">
        <v>220000</v>
      </c>
      <c r="G83" s="7">
        <v>1760000</v>
      </c>
    </row>
    <row r="84" spans="1:7">
      <c r="A84" s="4" t="s">
        <v>693</v>
      </c>
      <c r="B84" s="4" t="s">
        <v>976</v>
      </c>
      <c r="C84" s="4">
        <v>2</v>
      </c>
      <c r="D84" s="4" t="s">
        <v>893</v>
      </c>
      <c r="E84" s="4">
        <v>1</v>
      </c>
      <c r="F84" s="7">
        <v>960000</v>
      </c>
      <c r="G84" s="7">
        <v>960000</v>
      </c>
    </row>
    <row r="85" spans="1:7">
      <c r="A85" s="3" t="s">
        <v>695</v>
      </c>
      <c r="B85" s="3" t="s">
        <v>977</v>
      </c>
      <c r="C85" s="3">
        <v>1</v>
      </c>
      <c r="D85" s="3" t="s">
        <v>894</v>
      </c>
      <c r="E85" s="3">
        <v>10</v>
      </c>
      <c r="F85" s="6">
        <v>85000</v>
      </c>
      <c r="G85" s="6">
        <v>850000</v>
      </c>
    </row>
    <row r="86" spans="1:7">
      <c r="A86" s="3" t="s">
        <v>695</v>
      </c>
      <c r="B86" s="3" t="s">
        <v>977</v>
      </c>
      <c r="C86" s="3">
        <v>2</v>
      </c>
      <c r="D86" s="3" t="s">
        <v>895</v>
      </c>
      <c r="E86" s="3">
        <v>1</v>
      </c>
      <c r="F86" s="6">
        <v>330000</v>
      </c>
      <c r="G86" s="6">
        <v>330000</v>
      </c>
    </row>
    <row r="87" spans="1:7">
      <c r="A87" s="3" t="s">
        <v>697</v>
      </c>
      <c r="B87" s="3" t="s">
        <v>978</v>
      </c>
      <c r="C87" s="3">
        <v>1</v>
      </c>
      <c r="D87" s="3" t="s">
        <v>896</v>
      </c>
      <c r="E87" s="3">
        <v>3</v>
      </c>
      <c r="F87" s="6">
        <v>780000</v>
      </c>
      <c r="G87" s="6">
        <v>2340000</v>
      </c>
    </row>
    <row r="88" spans="1:7">
      <c r="A88" s="3" t="s">
        <v>697</v>
      </c>
      <c r="B88" s="3" t="s">
        <v>978</v>
      </c>
      <c r="C88" s="3">
        <v>2</v>
      </c>
      <c r="D88" s="3" t="s">
        <v>897</v>
      </c>
      <c r="E88" s="3">
        <v>1</v>
      </c>
      <c r="F88" s="6">
        <v>800000</v>
      </c>
      <c r="G88" s="6">
        <v>800000</v>
      </c>
    </row>
    <row r="89" spans="1:7">
      <c r="A89" s="3" t="s">
        <v>699</v>
      </c>
      <c r="B89" s="3" t="s">
        <v>979</v>
      </c>
      <c r="C89" s="3">
        <v>1</v>
      </c>
      <c r="D89" s="3" t="s">
        <v>898</v>
      </c>
      <c r="E89" s="3">
        <v>50</v>
      </c>
      <c r="F89" s="6">
        <v>12000</v>
      </c>
      <c r="G89" s="6">
        <v>600000</v>
      </c>
    </row>
    <row r="90" spans="1:7">
      <c r="A90" s="3" t="s">
        <v>699</v>
      </c>
      <c r="B90" s="3" t="s">
        <v>979</v>
      </c>
      <c r="C90" s="3">
        <v>2</v>
      </c>
      <c r="D90" s="3" t="s">
        <v>899</v>
      </c>
      <c r="E90" s="3">
        <v>1</v>
      </c>
      <c r="F90" s="6">
        <v>260000</v>
      </c>
      <c r="G90" s="6">
        <v>260000</v>
      </c>
    </row>
    <row r="91" spans="1:7">
      <c r="A91" s="5" t="s">
        <v>701</v>
      </c>
      <c r="B91" s="5" t="s">
        <v>980</v>
      </c>
      <c r="C91" s="5">
        <v>1</v>
      </c>
      <c r="D91" s="5" t="s">
        <v>900</v>
      </c>
      <c r="E91" s="5">
        <v>12</v>
      </c>
      <c r="F91" s="8">
        <v>280000</v>
      </c>
      <c r="G91" s="8">
        <v>3360000</v>
      </c>
    </row>
    <row r="92" spans="1:7">
      <c r="A92" s="5" t="s">
        <v>701</v>
      </c>
      <c r="B92" s="5" t="s">
        <v>980</v>
      </c>
      <c r="C92" s="5">
        <v>2</v>
      </c>
      <c r="D92" s="5" t="s">
        <v>901</v>
      </c>
      <c r="E92" s="5">
        <v>1</v>
      </c>
      <c r="F92" s="8">
        <v>850000</v>
      </c>
      <c r="G92" s="8">
        <v>850000</v>
      </c>
    </row>
    <row r="93" spans="1:7">
      <c r="A93" s="5" t="s">
        <v>703</v>
      </c>
      <c r="B93" s="5" t="s">
        <v>981</v>
      </c>
      <c r="C93" s="5">
        <v>1</v>
      </c>
      <c r="D93" s="5" t="s">
        <v>902</v>
      </c>
      <c r="E93" s="5">
        <v>200</v>
      </c>
      <c r="F93" s="8">
        <v>6500</v>
      </c>
      <c r="G93" s="8">
        <v>1300000</v>
      </c>
    </row>
    <row r="94" spans="1:7">
      <c r="A94" s="5" t="s">
        <v>703</v>
      </c>
      <c r="B94" s="5" t="s">
        <v>981</v>
      </c>
      <c r="C94" s="5">
        <v>2</v>
      </c>
      <c r="D94" s="5" t="s">
        <v>903</v>
      </c>
      <c r="E94" s="5">
        <v>1</v>
      </c>
      <c r="F94" s="8">
        <v>270000</v>
      </c>
      <c r="G94" s="8">
        <v>270000</v>
      </c>
    </row>
    <row r="95" spans="1:7">
      <c r="A95" s="4" t="s">
        <v>705</v>
      </c>
      <c r="B95" s="4" t="s">
        <v>982</v>
      </c>
      <c r="C95" s="4">
        <v>1</v>
      </c>
      <c r="D95" s="4" t="s">
        <v>904</v>
      </c>
      <c r="E95" s="4">
        <v>15</v>
      </c>
      <c r="F95" s="7">
        <v>120000</v>
      </c>
      <c r="G95" s="7">
        <v>1800000</v>
      </c>
    </row>
    <row r="96" spans="1:7">
      <c r="A96" s="4" t="s">
        <v>705</v>
      </c>
      <c r="B96" s="4" t="s">
        <v>982</v>
      </c>
      <c r="C96" s="4">
        <v>2</v>
      </c>
      <c r="D96" s="4" t="s">
        <v>905</v>
      </c>
      <c r="E96" s="4">
        <v>1</v>
      </c>
      <c r="F96" s="7">
        <v>580000</v>
      </c>
      <c r="G96" s="7">
        <v>580000</v>
      </c>
    </row>
    <row r="97" spans="1:7">
      <c r="A97" s="4" t="s">
        <v>707</v>
      </c>
      <c r="B97" s="4" t="s">
        <v>983</v>
      </c>
      <c r="C97" s="4">
        <v>1</v>
      </c>
      <c r="D97" s="4" t="s">
        <v>906</v>
      </c>
      <c r="E97" s="4">
        <v>80</v>
      </c>
      <c r="F97" s="7">
        <v>14000</v>
      </c>
      <c r="G97" s="7">
        <v>1120000</v>
      </c>
    </row>
    <row r="98" spans="1:7">
      <c r="A98" s="4" t="s">
        <v>707</v>
      </c>
      <c r="B98" s="4" t="s">
        <v>983</v>
      </c>
      <c r="C98" s="4">
        <v>2</v>
      </c>
      <c r="D98" s="4" t="s">
        <v>907</v>
      </c>
      <c r="E98" s="4">
        <v>1</v>
      </c>
      <c r="F98" s="7">
        <v>610000</v>
      </c>
      <c r="G98" s="7">
        <v>610000</v>
      </c>
    </row>
    <row r="99" spans="1:7">
      <c r="A99" s="3" t="s">
        <v>709</v>
      </c>
      <c r="B99" s="3" t="s">
        <v>984</v>
      </c>
      <c r="C99" s="3">
        <v>1</v>
      </c>
      <c r="D99" s="3" t="s">
        <v>908</v>
      </c>
      <c r="E99" s="3">
        <v>4</v>
      </c>
      <c r="F99" s="6">
        <v>520000</v>
      </c>
      <c r="G99" s="6">
        <v>2080000</v>
      </c>
    </row>
    <row r="100" spans="1:7">
      <c r="A100" s="3" t="s">
        <v>709</v>
      </c>
      <c r="B100" s="3" t="s">
        <v>984</v>
      </c>
      <c r="C100" s="3">
        <v>2</v>
      </c>
      <c r="D100" s="3" t="s">
        <v>909</v>
      </c>
      <c r="E100" s="3">
        <v>1</v>
      </c>
      <c r="F100" s="6">
        <v>910000</v>
      </c>
      <c r="G100" s="6">
        <v>910000</v>
      </c>
    </row>
    <row r="101" spans="1:7">
      <c r="A101" s="3" t="s">
        <v>711</v>
      </c>
      <c r="B101" s="3" t="s">
        <v>985</v>
      </c>
      <c r="C101" s="3">
        <v>1</v>
      </c>
      <c r="D101" s="3" t="s">
        <v>910</v>
      </c>
      <c r="E101" s="3">
        <v>20</v>
      </c>
      <c r="F101" s="6">
        <v>48000</v>
      </c>
      <c r="G101" s="6">
        <v>960000</v>
      </c>
    </row>
    <row r="102" spans="1:7">
      <c r="A102" s="3" t="s">
        <v>711</v>
      </c>
      <c r="B102" s="3" t="s">
        <v>985</v>
      </c>
      <c r="C102" s="3">
        <v>2</v>
      </c>
      <c r="D102" s="3" t="s">
        <v>911</v>
      </c>
      <c r="E102" s="3">
        <v>1</v>
      </c>
      <c r="F102" s="6">
        <v>450000</v>
      </c>
      <c r="G102" s="6">
        <v>450000</v>
      </c>
    </row>
    <row r="103" spans="1:7">
      <c r="A103" s="3" t="s">
        <v>713</v>
      </c>
      <c r="B103" s="3" t="s">
        <v>986</v>
      </c>
      <c r="C103" s="3">
        <v>1</v>
      </c>
      <c r="D103" s="3" t="s">
        <v>912</v>
      </c>
      <c r="E103" s="3">
        <v>2</v>
      </c>
      <c r="F103" s="6">
        <v>1450000</v>
      </c>
      <c r="G103" s="6">
        <v>2900000</v>
      </c>
    </row>
    <row r="104" spans="1:7">
      <c r="A104" s="3" t="s">
        <v>713</v>
      </c>
      <c r="B104" s="3" t="s">
        <v>986</v>
      </c>
      <c r="C104" s="3">
        <v>2</v>
      </c>
      <c r="D104" s="3" t="s">
        <v>913</v>
      </c>
      <c r="E104" s="3">
        <v>1</v>
      </c>
      <c r="F104" s="6">
        <v>650000</v>
      </c>
      <c r="G104" s="6">
        <v>650000</v>
      </c>
    </row>
    <row r="105" spans="1:7">
      <c r="A105" s="5" t="s">
        <v>715</v>
      </c>
      <c r="B105" s="5" t="s">
        <v>987</v>
      </c>
      <c r="C105" s="5">
        <v>1</v>
      </c>
      <c r="D105" s="5" t="s">
        <v>914</v>
      </c>
      <c r="E105" s="5">
        <v>25</v>
      </c>
      <c r="F105" s="8">
        <v>32000</v>
      </c>
      <c r="G105" s="8">
        <v>800000</v>
      </c>
    </row>
    <row r="106" spans="1:7">
      <c r="A106" s="5" t="s">
        <v>715</v>
      </c>
      <c r="B106" s="5" t="s">
        <v>987</v>
      </c>
      <c r="C106" s="5">
        <v>2</v>
      </c>
      <c r="D106" s="5" t="s">
        <v>915</v>
      </c>
      <c r="E106" s="5">
        <v>1</v>
      </c>
      <c r="F106" s="8">
        <v>290000</v>
      </c>
      <c r="G106" s="8">
        <v>290000</v>
      </c>
    </row>
    <row r="107" spans="1:7">
      <c r="A107" s="4" t="s">
        <v>717</v>
      </c>
      <c r="B107" s="4" t="s">
        <v>988</v>
      </c>
      <c r="C107" s="4">
        <v>1</v>
      </c>
      <c r="D107" s="4" t="s">
        <v>916</v>
      </c>
      <c r="E107" s="4">
        <v>18</v>
      </c>
      <c r="F107" s="7">
        <v>95000</v>
      </c>
      <c r="G107" s="7">
        <v>1710000</v>
      </c>
    </row>
    <row r="108" spans="1:7">
      <c r="A108" s="4" t="s">
        <v>717</v>
      </c>
      <c r="B108" s="4" t="s">
        <v>988</v>
      </c>
      <c r="C108" s="4">
        <v>2</v>
      </c>
      <c r="D108" s="4" t="s">
        <v>917</v>
      </c>
      <c r="E108" s="4">
        <v>1</v>
      </c>
      <c r="F108" s="7">
        <v>630000</v>
      </c>
      <c r="G108" s="7">
        <v>630000</v>
      </c>
    </row>
    <row r="109" spans="1:7">
      <c r="A109" s="4" t="s">
        <v>719</v>
      </c>
      <c r="B109" s="4" t="s">
        <v>989</v>
      </c>
      <c r="C109" s="4">
        <v>1</v>
      </c>
      <c r="D109" s="4" t="s">
        <v>918</v>
      </c>
      <c r="E109" s="4">
        <v>30</v>
      </c>
      <c r="F109" s="7">
        <v>48000</v>
      </c>
      <c r="G109" s="7">
        <v>1440000</v>
      </c>
    </row>
    <row r="110" spans="1:7">
      <c r="A110" s="4" t="s">
        <v>719</v>
      </c>
      <c r="B110" s="4" t="s">
        <v>989</v>
      </c>
      <c r="C110" s="4">
        <v>2</v>
      </c>
      <c r="D110" s="4" t="s">
        <v>919</v>
      </c>
      <c r="E110" s="4">
        <v>1</v>
      </c>
      <c r="F110" s="7">
        <v>450000</v>
      </c>
      <c r="G110" s="7">
        <v>450000</v>
      </c>
    </row>
    <row r="111" spans="1:7">
      <c r="A111" s="3" t="s">
        <v>721</v>
      </c>
      <c r="B111" s="3" t="s">
        <v>990</v>
      </c>
      <c r="C111" s="3">
        <v>1</v>
      </c>
      <c r="D111" s="3" t="s">
        <v>920</v>
      </c>
      <c r="E111" s="3">
        <v>50</v>
      </c>
      <c r="F111" s="6">
        <v>42000</v>
      </c>
      <c r="G111" s="6">
        <v>2100000</v>
      </c>
    </row>
    <row r="112" spans="1:7">
      <c r="A112" s="3" t="s">
        <v>721</v>
      </c>
      <c r="B112" s="3" t="s">
        <v>990</v>
      </c>
      <c r="C112" s="3">
        <v>2</v>
      </c>
      <c r="D112" s="3" t="s">
        <v>921</v>
      </c>
      <c r="E112" s="3">
        <v>1</v>
      </c>
      <c r="F112" s="6">
        <v>1020000</v>
      </c>
      <c r="G112" s="6">
        <v>1020000</v>
      </c>
    </row>
    <row r="113" spans="1:7">
      <c r="A113" s="4" t="s">
        <v>723</v>
      </c>
      <c r="B113" s="4" t="s">
        <v>991</v>
      </c>
      <c r="C113" s="4">
        <v>1</v>
      </c>
      <c r="D113" s="4" t="s">
        <v>922</v>
      </c>
      <c r="E113" s="4">
        <v>100</v>
      </c>
      <c r="F113" s="7">
        <v>11500</v>
      </c>
      <c r="G113" s="7">
        <v>1150000</v>
      </c>
    </row>
    <row r="114" spans="1:7">
      <c r="A114" s="4" t="s">
        <v>723</v>
      </c>
      <c r="B114" s="4" t="s">
        <v>991</v>
      </c>
      <c r="C114" s="4">
        <v>2</v>
      </c>
      <c r="D114" s="4" t="s">
        <v>923</v>
      </c>
      <c r="E114" s="4">
        <v>1</v>
      </c>
      <c r="F114" s="7">
        <v>500000</v>
      </c>
      <c r="G114" s="7">
        <v>500000</v>
      </c>
    </row>
    <row r="115" spans="1:7">
      <c r="A115" s="4" t="s">
        <v>725</v>
      </c>
      <c r="B115" s="4" t="s">
        <v>992</v>
      </c>
      <c r="C115" s="4">
        <v>1</v>
      </c>
      <c r="D115" s="4" t="s">
        <v>924</v>
      </c>
      <c r="E115" s="4">
        <v>1</v>
      </c>
      <c r="F115" s="7">
        <v>3200000</v>
      </c>
      <c r="G115" s="7">
        <v>3200000</v>
      </c>
    </row>
    <row r="116" spans="1:7">
      <c r="A116" s="4" t="s">
        <v>725</v>
      </c>
      <c r="B116" s="4" t="s">
        <v>992</v>
      </c>
      <c r="C116" s="4">
        <v>2</v>
      </c>
      <c r="D116" s="4" t="s">
        <v>925</v>
      </c>
      <c r="E116" s="4">
        <v>1</v>
      </c>
      <c r="F116" s="7">
        <v>850000</v>
      </c>
      <c r="G116" s="7">
        <v>850000</v>
      </c>
    </row>
    <row r="117" spans="1:7">
      <c r="A117" s="3" t="s">
        <v>727</v>
      </c>
      <c r="B117" s="3" t="s">
        <v>993</v>
      </c>
      <c r="C117" s="3">
        <v>1</v>
      </c>
      <c r="D117" s="3" t="s">
        <v>926</v>
      </c>
      <c r="E117" s="3">
        <v>15</v>
      </c>
      <c r="F117" s="6">
        <v>125000</v>
      </c>
      <c r="G117" s="6">
        <v>1875000</v>
      </c>
    </row>
    <row r="118" spans="1:7">
      <c r="A118" s="3" t="s">
        <v>727</v>
      </c>
      <c r="B118" s="3" t="s">
        <v>993</v>
      </c>
      <c r="C118" s="3">
        <v>2</v>
      </c>
      <c r="D118" s="3" t="s">
        <v>927</v>
      </c>
      <c r="E118" s="3">
        <v>1</v>
      </c>
      <c r="F118" s="6">
        <v>885000</v>
      </c>
      <c r="G118" s="6">
        <v>885000</v>
      </c>
    </row>
    <row r="119" spans="1:7">
      <c r="A119" s="3" t="s">
        <v>729</v>
      </c>
      <c r="B119" s="3" t="s">
        <v>994</v>
      </c>
      <c r="C119" s="3">
        <v>1</v>
      </c>
      <c r="D119" s="3" t="s">
        <v>928</v>
      </c>
      <c r="E119" s="3">
        <v>300</v>
      </c>
      <c r="F119" s="6">
        <v>3800</v>
      </c>
      <c r="G119" s="6">
        <v>1140000</v>
      </c>
    </row>
    <row r="120" spans="1:7">
      <c r="A120" s="3" t="s">
        <v>729</v>
      </c>
      <c r="B120" s="3" t="s">
        <v>994</v>
      </c>
      <c r="C120" s="3">
        <v>2</v>
      </c>
      <c r="D120" s="3" t="s">
        <v>929</v>
      </c>
      <c r="E120" s="3">
        <v>1</v>
      </c>
      <c r="F120" s="6">
        <v>340000</v>
      </c>
      <c r="G120" s="6">
        <v>340000</v>
      </c>
    </row>
    <row r="121" spans="1:7">
      <c r="A121" s="5" t="s">
        <v>731</v>
      </c>
      <c r="B121" s="5" t="s">
        <v>995</v>
      </c>
      <c r="C121" s="5">
        <v>1</v>
      </c>
      <c r="D121" s="5" t="s">
        <v>930</v>
      </c>
      <c r="E121" s="5">
        <v>40</v>
      </c>
      <c r="F121" s="8">
        <v>52000</v>
      </c>
      <c r="G121" s="8">
        <v>2080000</v>
      </c>
    </row>
    <row r="122" spans="1:7">
      <c r="A122" s="5" t="s">
        <v>731</v>
      </c>
      <c r="B122" s="5" t="s">
        <v>995</v>
      </c>
      <c r="C122" s="5">
        <v>2</v>
      </c>
      <c r="D122" s="5" t="s">
        <v>931</v>
      </c>
      <c r="E122" s="5">
        <v>1</v>
      </c>
      <c r="F122" s="8">
        <v>830000</v>
      </c>
      <c r="G122" s="8">
        <v>830000</v>
      </c>
    </row>
  </sheetData>
  <autoFilter ref="A1:G122" xr:uid="{00000000-0009-0000-0000-000005000000}">
    <sortState ref="A2:G122">
      <sortCondition ref="B1:B122"/>
    </sortState>
  </autoFilter>
  <sortState ref="A2:H122">
    <sortCondition descending="1" ref="A2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5"/>
  <sheetViews>
    <sheetView workbookViewId="0">
      <selection activeCell="H2" sqref="H2"/>
    </sheetView>
    <sheetView workbookViewId="1">
      <selection activeCell="E1" sqref="E1:E1048576"/>
    </sheetView>
  </sheetViews>
  <sheetFormatPr defaultColWidth="8.85546875" defaultRowHeight="15"/>
  <cols>
    <col min="1" max="1" width="13.140625" customWidth="1"/>
    <col min="2" max="2" width="12" customWidth="1"/>
    <col min="3" max="3" width="22.85546875" customWidth="1"/>
    <col min="4" max="4" width="19.7109375" customWidth="1"/>
    <col min="5" max="5" width="17.140625" customWidth="1"/>
    <col min="6" max="6" width="16.7109375" customWidth="1"/>
    <col min="7" max="7" width="58" customWidth="1"/>
  </cols>
  <sheetData>
    <row r="1" spans="1:7">
      <c r="A1" s="2" t="s">
        <v>544</v>
      </c>
      <c r="B1" s="2" t="s">
        <v>935</v>
      </c>
      <c r="C1" s="2" t="s">
        <v>936</v>
      </c>
      <c r="D1" s="2" t="s">
        <v>937</v>
      </c>
      <c r="E1" s="1" t="s">
        <v>749</v>
      </c>
      <c r="F1" s="1" t="s">
        <v>750</v>
      </c>
      <c r="G1" s="1" t="s">
        <v>751</v>
      </c>
    </row>
    <row r="2" spans="1:7" ht="30">
      <c r="A2" s="3" t="s">
        <v>556</v>
      </c>
      <c r="B2" s="3" t="s">
        <v>997</v>
      </c>
      <c r="C2" s="9">
        <v>45910</v>
      </c>
      <c r="D2" s="9">
        <v>46274</v>
      </c>
      <c r="E2" s="3" t="s">
        <v>963</v>
      </c>
      <c r="F2" s="3" t="s">
        <v>19</v>
      </c>
      <c r="G2" s="3" t="s">
        <v>753</v>
      </c>
    </row>
    <row r="3" spans="1:7">
      <c r="A3" s="10" t="s">
        <v>561</v>
      </c>
      <c r="B3" s="4" t="s">
        <v>998</v>
      </c>
      <c r="C3" s="11">
        <v>46016</v>
      </c>
      <c r="D3" s="11">
        <v>46745</v>
      </c>
      <c r="E3" s="4" t="s">
        <v>951</v>
      </c>
      <c r="F3" s="4" t="s">
        <v>6</v>
      </c>
      <c r="G3" s="4" t="s">
        <v>754</v>
      </c>
    </row>
    <row r="4" spans="1:7">
      <c r="A4" s="10" t="s">
        <v>568</v>
      </c>
      <c r="B4" s="4" t="s">
        <v>999</v>
      </c>
      <c r="C4" s="11">
        <v>46021</v>
      </c>
      <c r="D4" s="11">
        <v>46385</v>
      </c>
      <c r="E4" s="4" t="s">
        <v>952</v>
      </c>
      <c r="F4" s="4" t="s">
        <v>10</v>
      </c>
      <c r="G4" s="4" t="s">
        <v>757</v>
      </c>
    </row>
    <row r="5" spans="1:7" ht="30">
      <c r="A5" s="5" t="s">
        <v>572</v>
      </c>
      <c r="B5" s="5" t="s">
        <v>1000</v>
      </c>
      <c r="C5" s="12">
        <v>45915</v>
      </c>
      <c r="D5" s="12">
        <v>46279</v>
      </c>
      <c r="E5" s="5" t="s">
        <v>964</v>
      </c>
      <c r="F5" s="5" t="s">
        <v>22</v>
      </c>
      <c r="G5" s="5" t="s">
        <v>759</v>
      </c>
    </row>
    <row r="6" spans="1:7">
      <c r="A6" s="10" t="s">
        <v>576</v>
      </c>
      <c r="B6" s="4" t="s">
        <v>1001</v>
      </c>
      <c r="C6" s="11">
        <v>46027</v>
      </c>
      <c r="D6" s="11">
        <v>46391</v>
      </c>
      <c r="E6" s="4" t="s">
        <v>953</v>
      </c>
      <c r="F6" s="4" t="s">
        <v>10</v>
      </c>
      <c r="G6" s="4" t="s">
        <v>760</v>
      </c>
    </row>
    <row r="7" spans="1:7">
      <c r="A7" s="5" t="s">
        <v>580</v>
      </c>
      <c r="B7" s="5" t="s">
        <v>1002</v>
      </c>
      <c r="C7" s="12">
        <v>45955</v>
      </c>
      <c r="D7" s="12">
        <v>46319</v>
      </c>
      <c r="E7" s="5" t="s">
        <v>965</v>
      </c>
      <c r="F7" s="5" t="s">
        <v>25</v>
      </c>
      <c r="G7" s="5" t="s">
        <v>762</v>
      </c>
    </row>
    <row r="8" spans="1:7">
      <c r="A8" s="3" t="s">
        <v>585</v>
      </c>
      <c r="B8" s="3" t="s">
        <v>1003</v>
      </c>
      <c r="C8" s="9">
        <v>46042</v>
      </c>
      <c r="D8" s="9">
        <v>46771</v>
      </c>
      <c r="E8" s="3" t="s">
        <v>954</v>
      </c>
      <c r="F8" s="3" t="s">
        <v>13</v>
      </c>
      <c r="G8" s="3" t="s">
        <v>763</v>
      </c>
    </row>
    <row r="9" spans="1:7" ht="30">
      <c r="A9" s="5" t="s">
        <v>597</v>
      </c>
      <c r="B9" s="5" t="s">
        <v>1004</v>
      </c>
      <c r="C9" s="12">
        <v>45960</v>
      </c>
      <c r="D9" s="12">
        <v>46324</v>
      </c>
      <c r="E9" s="5" t="s">
        <v>966</v>
      </c>
      <c r="F9" s="5" t="s">
        <v>28</v>
      </c>
      <c r="G9" s="5" t="s">
        <v>768</v>
      </c>
    </row>
    <row r="10" spans="1:7">
      <c r="A10" s="3" t="s">
        <v>601</v>
      </c>
      <c r="B10" s="3" t="s">
        <v>1005</v>
      </c>
      <c r="C10" s="9">
        <v>46037</v>
      </c>
      <c r="D10" s="9">
        <v>46401</v>
      </c>
      <c r="E10" s="3" t="s">
        <v>956</v>
      </c>
      <c r="F10" s="3" t="s">
        <v>16</v>
      </c>
      <c r="G10" s="3" t="s">
        <v>769</v>
      </c>
    </row>
    <row r="11" spans="1:7">
      <c r="A11" s="5" t="s">
        <v>607</v>
      </c>
      <c r="B11" s="5" t="s">
        <v>1006</v>
      </c>
      <c r="C11" s="12">
        <v>45950</v>
      </c>
      <c r="D11" s="12">
        <v>46314</v>
      </c>
      <c r="E11" s="5" t="s">
        <v>967</v>
      </c>
      <c r="F11" s="5" t="s">
        <v>31</v>
      </c>
      <c r="G11" s="5" t="s">
        <v>771</v>
      </c>
    </row>
    <row r="12" spans="1:7">
      <c r="A12" s="3" t="s">
        <v>609</v>
      </c>
      <c r="B12" s="3" t="s">
        <v>1007</v>
      </c>
      <c r="C12" s="9">
        <v>46047</v>
      </c>
      <c r="D12" s="9">
        <v>46776</v>
      </c>
      <c r="E12" s="3" t="s">
        <v>957</v>
      </c>
      <c r="F12" s="3" t="s">
        <v>19</v>
      </c>
      <c r="G12" s="3" t="s">
        <v>772</v>
      </c>
    </row>
    <row r="13" spans="1:7">
      <c r="A13" s="3" t="s">
        <v>615</v>
      </c>
      <c r="B13" s="3" t="s">
        <v>1008</v>
      </c>
      <c r="C13" s="9">
        <v>46054</v>
      </c>
      <c r="D13" s="9">
        <v>46418</v>
      </c>
      <c r="E13" s="3" t="s">
        <v>958</v>
      </c>
      <c r="F13" s="3" t="s">
        <v>19</v>
      </c>
      <c r="G13" s="3" t="s">
        <v>774</v>
      </c>
    </row>
    <row r="14" spans="1:7">
      <c r="A14" s="5" t="s">
        <v>621</v>
      </c>
      <c r="B14" s="5" t="s">
        <v>1009</v>
      </c>
      <c r="C14" s="12">
        <v>46032</v>
      </c>
      <c r="D14" s="12">
        <v>46396</v>
      </c>
      <c r="E14" s="5" t="s">
        <v>959</v>
      </c>
      <c r="F14" s="5" t="s">
        <v>22</v>
      </c>
      <c r="G14" s="5" t="s">
        <v>777</v>
      </c>
    </row>
    <row r="15" spans="1:7">
      <c r="A15" s="10" t="s">
        <v>623</v>
      </c>
      <c r="B15" s="4" t="s">
        <v>1010</v>
      </c>
      <c r="C15" s="11">
        <v>45952</v>
      </c>
      <c r="D15" s="11">
        <v>46316</v>
      </c>
      <c r="E15" s="4" t="s">
        <v>968</v>
      </c>
      <c r="F15" s="4" t="s">
        <v>6</v>
      </c>
      <c r="G15" s="4" t="s">
        <v>778</v>
      </c>
    </row>
    <row r="16" spans="1:7">
      <c r="A16" s="5" t="s">
        <v>629</v>
      </c>
      <c r="B16" s="5" t="s">
        <v>1011</v>
      </c>
      <c r="C16" s="12">
        <v>46027</v>
      </c>
      <c r="D16" s="12">
        <v>46756</v>
      </c>
      <c r="E16" s="5" t="s">
        <v>960</v>
      </c>
      <c r="F16" s="5" t="s">
        <v>22</v>
      </c>
      <c r="G16" s="5" t="s">
        <v>780</v>
      </c>
    </row>
    <row r="17" spans="1:7">
      <c r="A17" s="10" t="s">
        <v>633</v>
      </c>
      <c r="B17" s="4" t="s">
        <v>1012</v>
      </c>
      <c r="C17" s="11">
        <v>45973</v>
      </c>
      <c r="D17" s="11">
        <v>46337</v>
      </c>
      <c r="E17" s="4" t="s">
        <v>969</v>
      </c>
      <c r="F17" s="4" t="s">
        <v>6</v>
      </c>
      <c r="G17" s="4" t="s">
        <v>781</v>
      </c>
    </row>
    <row r="18" spans="1:7">
      <c r="A18" s="5" t="s">
        <v>639</v>
      </c>
      <c r="B18" s="5" t="s">
        <v>1013</v>
      </c>
      <c r="C18" s="12">
        <v>46063</v>
      </c>
      <c r="D18" s="12">
        <v>46427</v>
      </c>
      <c r="E18" s="5" t="s">
        <v>961</v>
      </c>
      <c r="F18" s="5" t="s">
        <v>28</v>
      </c>
      <c r="G18" s="5" t="s">
        <v>783</v>
      </c>
    </row>
    <row r="19" spans="1:7">
      <c r="A19" s="10" t="s">
        <v>645</v>
      </c>
      <c r="B19" s="4" t="s">
        <v>1014</v>
      </c>
      <c r="C19" s="11">
        <v>46023</v>
      </c>
      <c r="D19" s="11">
        <v>46752</v>
      </c>
      <c r="E19" s="4" t="s">
        <v>962</v>
      </c>
      <c r="F19" s="16" t="s">
        <v>10</v>
      </c>
      <c r="G19" s="4" t="s">
        <v>786</v>
      </c>
    </row>
    <row r="20" spans="1:7">
      <c r="A20" s="10" t="s">
        <v>647</v>
      </c>
      <c r="B20" s="4" t="s">
        <v>1015</v>
      </c>
      <c r="C20" s="11">
        <v>45976</v>
      </c>
      <c r="D20" s="11">
        <v>46340</v>
      </c>
      <c r="E20" s="4" t="s">
        <v>970</v>
      </c>
      <c r="F20" s="16" t="s">
        <v>10</v>
      </c>
      <c r="G20" s="4" t="s">
        <v>787</v>
      </c>
    </row>
    <row r="21" spans="1:7" ht="30">
      <c r="A21" s="10" t="s">
        <v>691</v>
      </c>
      <c r="B21" s="4" t="s">
        <v>1016</v>
      </c>
      <c r="C21" s="11">
        <v>46027</v>
      </c>
      <c r="D21" s="11">
        <v>46391</v>
      </c>
      <c r="E21" s="4" t="s">
        <v>975</v>
      </c>
      <c r="F21" s="16" t="s">
        <v>6</v>
      </c>
      <c r="G21" s="4" t="s">
        <v>788</v>
      </c>
    </row>
    <row r="22" spans="1:7" ht="30">
      <c r="A22" s="10" t="s">
        <v>693</v>
      </c>
      <c r="B22" s="4" t="s">
        <v>1017</v>
      </c>
      <c r="C22" s="11">
        <v>46047</v>
      </c>
      <c r="D22" s="11">
        <v>46776</v>
      </c>
      <c r="E22" s="4" t="s">
        <v>976</v>
      </c>
      <c r="F22" s="16" t="s">
        <v>10</v>
      </c>
      <c r="G22" s="4" t="s">
        <v>789</v>
      </c>
    </row>
    <row r="23" spans="1:7" ht="30">
      <c r="A23" s="3" t="s">
        <v>695</v>
      </c>
      <c r="B23" s="3" t="s">
        <v>1018</v>
      </c>
      <c r="C23" s="9">
        <v>46040</v>
      </c>
      <c r="D23" s="9">
        <v>46404</v>
      </c>
      <c r="E23" s="3" t="s">
        <v>977</v>
      </c>
      <c r="F23" s="17" t="s">
        <v>13</v>
      </c>
      <c r="G23" s="3" t="s">
        <v>790</v>
      </c>
    </row>
    <row r="24" spans="1:7">
      <c r="A24" s="3" t="s">
        <v>697</v>
      </c>
      <c r="B24" s="3" t="s">
        <v>1019</v>
      </c>
      <c r="C24" s="9">
        <v>46063</v>
      </c>
      <c r="D24" s="9">
        <v>46792</v>
      </c>
      <c r="E24" s="3" t="s">
        <v>978</v>
      </c>
      <c r="F24" s="17" t="s">
        <v>16</v>
      </c>
      <c r="G24" s="3" t="s">
        <v>791</v>
      </c>
    </row>
    <row r="25" spans="1:7" ht="30">
      <c r="A25" s="3" t="s">
        <v>699</v>
      </c>
      <c r="B25" s="3" t="s">
        <v>1020</v>
      </c>
      <c r="C25" s="9">
        <v>46034</v>
      </c>
      <c r="D25" s="9">
        <v>46398</v>
      </c>
      <c r="E25" s="3" t="s">
        <v>979</v>
      </c>
      <c r="F25" s="17" t="s">
        <v>19</v>
      </c>
      <c r="G25" s="3" t="s">
        <v>792</v>
      </c>
    </row>
    <row r="26" spans="1:7" ht="30">
      <c r="A26" s="5" t="s">
        <v>701</v>
      </c>
      <c r="B26" s="5" t="s">
        <v>1021</v>
      </c>
      <c r="C26" s="12">
        <v>46101</v>
      </c>
      <c r="D26" s="12">
        <v>46831</v>
      </c>
      <c r="E26" s="5" t="s">
        <v>980</v>
      </c>
      <c r="F26" s="18" t="s">
        <v>22</v>
      </c>
      <c r="G26" s="5" t="s">
        <v>793</v>
      </c>
    </row>
    <row r="27" spans="1:7">
      <c r="A27" s="5" t="s">
        <v>703</v>
      </c>
      <c r="B27" s="5" t="s">
        <v>1022</v>
      </c>
      <c r="C27" s="12">
        <v>46054</v>
      </c>
      <c r="D27" s="12">
        <v>46418</v>
      </c>
      <c r="E27" s="5" t="s">
        <v>981</v>
      </c>
      <c r="F27" s="18" t="s">
        <v>25</v>
      </c>
      <c r="G27" s="5" t="s">
        <v>794</v>
      </c>
    </row>
    <row r="28" spans="1:7">
      <c r="A28" s="10" t="s">
        <v>705</v>
      </c>
      <c r="B28" s="4" t="s">
        <v>1023</v>
      </c>
      <c r="C28" s="11">
        <v>46058</v>
      </c>
      <c r="D28" s="11">
        <v>46787</v>
      </c>
      <c r="E28" s="4" t="s">
        <v>982</v>
      </c>
      <c r="F28" s="16" t="s">
        <v>6</v>
      </c>
      <c r="G28" s="4" t="s">
        <v>795</v>
      </c>
    </row>
    <row r="29" spans="1:7">
      <c r="A29" s="10" t="s">
        <v>707</v>
      </c>
      <c r="B29" s="4" t="s">
        <v>1024</v>
      </c>
      <c r="C29" s="11">
        <v>46044</v>
      </c>
      <c r="D29" s="11">
        <v>46408</v>
      </c>
      <c r="E29" s="4" t="s">
        <v>983</v>
      </c>
      <c r="F29" s="16" t="s">
        <v>10</v>
      </c>
      <c r="G29" s="4" t="s">
        <v>796</v>
      </c>
    </row>
    <row r="30" spans="1:7">
      <c r="A30" s="3" t="s">
        <v>709</v>
      </c>
      <c r="B30" s="3" t="s">
        <v>1025</v>
      </c>
      <c r="C30" s="9">
        <v>46078</v>
      </c>
      <c r="D30" s="9">
        <v>46807</v>
      </c>
      <c r="E30" s="3" t="s">
        <v>984</v>
      </c>
      <c r="F30" s="17" t="s">
        <v>13</v>
      </c>
      <c r="G30" s="3" t="s">
        <v>797</v>
      </c>
    </row>
    <row r="31" spans="1:7">
      <c r="A31" s="3" t="s">
        <v>711</v>
      </c>
      <c r="B31" s="3" t="s">
        <v>1026</v>
      </c>
      <c r="C31" s="9">
        <v>46052</v>
      </c>
      <c r="D31" s="9">
        <v>46416</v>
      </c>
      <c r="E31" s="3" t="s">
        <v>985</v>
      </c>
      <c r="F31" s="17" t="s">
        <v>16</v>
      </c>
      <c r="G31" s="3" t="s">
        <v>798</v>
      </c>
    </row>
    <row r="32" spans="1:7">
      <c r="A32" s="3" t="s">
        <v>713</v>
      </c>
      <c r="B32" s="3" t="s">
        <v>1027</v>
      </c>
      <c r="C32" s="9">
        <v>46086</v>
      </c>
      <c r="D32" s="9">
        <v>46816</v>
      </c>
      <c r="E32" s="3" t="s">
        <v>986</v>
      </c>
      <c r="F32" s="17" t="s">
        <v>19</v>
      </c>
      <c r="G32" s="3" t="s">
        <v>799</v>
      </c>
    </row>
    <row r="33" spans="1:7">
      <c r="A33" s="13" t="s">
        <v>715</v>
      </c>
      <c r="B33" s="5" t="s">
        <v>1028</v>
      </c>
      <c r="C33" s="12">
        <v>46042</v>
      </c>
      <c r="D33" s="12">
        <v>46406</v>
      </c>
      <c r="E33" s="5" t="s">
        <v>987</v>
      </c>
      <c r="F33" s="18" t="s">
        <v>22</v>
      </c>
      <c r="G33" s="5" t="s">
        <v>800</v>
      </c>
    </row>
    <row r="34" spans="1:7" ht="30">
      <c r="A34" s="10" t="s">
        <v>717</v>
      </c>
      <c r="B34" s="4" t="s">
        <v>1029</v>
      </c>
      <c r="C34" s="11">
        <v>45713</v>
      </c>
      <c r="D34" s="11">
        <v>46077</v>
      </c>
      <c r="E34" s="4" t="s">
        <v>988</v>
      </c>
      <c r="F34" s="16" t="s">
        <v>6</v>
      </c>
      <c r="G34" s="4" t="s">
        <v>801</v>
      </c>
    </row>
    <row r="35" spans="1:7">
      <c r="A35" s="10" t="s">
        <v>719</v>
      </c>
      <c r="B35" s="4" t="s">
        <v>1030</v>
      </c>
      <c r="C35" s="11">
        <v>45698</v>
      </c>
      <c r="D35" s="11">
        <v>46062</v>
      </c>
      <c r="E35" s="4" t="s">
        <v>989</v>
      </c>
      <c r="F35" s="16" t="s">
        <v>10</v>
      </c>
      <c r="G35" s="4" t="s">
        <v>802</v>
      </c>
    </row>
    <row r="36" spans="1:7" ht="30">
      <c r="A36" s="3" t="s">
        <v>721</v>
      </c>
      <c r="B36" s="3" t="s">
        <v>1031</v>
      </c>
      <c r="C36" s="9">
        <v>45703</v>
      </c>
      <c r="D36" s="9">
        <v>46067</v>
      </c>
      <c r="E36" s="3" t="s">
        <v>990</v>
      </c>
      <c r="F36" s="17" t="s">
        <v>13</v>
      </c>
      <c r="G36" s="3" t="s">
        <v>803</v>
      </c>
    </row>
    <row r="37" spans="1:7">
      <c r="A37" s="10" t="s">
        <v>723</v>
      </c>
      <c r="B37" s="4" t="s">
        <v>1032</v>
      </c>
      <c r="C37" s="11">
        <v>45717</v>
      </c>
      <c r="D37" s="11">
        <v>46112</v>
      </c>
      <c r="E37" s="4" t="s">
        <v>991</v>
      </c>
      <c r="F37" s="16" t="s">
        <v>6</v>
      </c>
      <c r="G37" s="4" t="s">
        <v>804</v>
      </c>
    </row>
    <row r="38" spans="1:7">
      <c r="A38" s="10" t="s">
        <v>725</v>
      </c>
      <c r="B38" s="4" t="s">
        <v>1033</v>
      </c>
      <c r="C38" s="11">
        <v>45721</v>
      </c>
      <c r="D38" s="11">
        <v>46085</v>
      </c>
      <c r="E38" s="4" t="s">
        <v>992</v>
      </c>
      <c r="F38" s="16" t="s">
        <v>10</v>
      </c>
      <c r="G38" s="4" t="s">
        <v>805</v>
      </c>
    </row>
    <row r="39" spans="1:7">
      <c r="A39" s="3" t="s">
        <v>727</v>
      </c>
      <c r="B39" s="3" t="s">
        <v>1034</v>
      </c>
      <c r="C39" s="9">
        <v>45960</v>
      </c>
      <c r="D39" s="9">
        <v>46324</v>
      </c>
      <c r="E39" s="3" t="s">
        <v>993</v>
      </c>
      <c r="F39" s="17" t="s">
        <v>13</v>
      </c>
      <c r="G39" s="3" t="s">
        <v>806</v>
      </c>
    </row>
    <row r="40" spans="1:7" ht="30">
      <c r="A40" s="3" t="s">
        <v>729</v>
      </c>
      <c r="B40" s="3" t="s">
        <v>1035</v>
      </c>
      <c r="C40" s="9">
        <v>45762</v>
      </c>
      <c r="D40" s="9">
        <v>46126</v>
      </c>
      <c r="E40" s="3" t="s">
        <v>994</v>
      </c>
      <c r="F40" s="17" t="s">
        <v>16</v>
      </c>
      <c r="G40" s="3" t="s">
        <v>807</v>
      </c>
    </row>
    <row r="41" spans="1:7">
      <c r="A41" s="5" t="s">
        <v>731</v>
      </c>
      <c r="B41" s="5" t="s">
        <v>1036</v>
      </c>
      <c r="C41" s="12">
        <v>45952</v>
      </c>
      <c r="D41" s="12">
        <v>46316</v>
      </c>
      <c r="E41" s="5" t="s">
        <v>995</v>
      </c>
      <c r="F41" s="18" t="s">
        <v>25</v>
      </c>
      <c r="G41" s="5" t="s">
        <v>808</v>
      </c>
    </row>
    <row r="43" spans="1:7">
      <c r="B43" s="2"/>
      <c r="C43" s="2"/>
      <c r="D43" s="2"/>
    </row>
    <row r="44" spans="1:7">
      <c r="B44" s="14"/>
      <c r="C44" s="15"/>
      <c r="D44" s="15"/>
    </row>
    <row r="45" spans="1:7">
      <c r="B45" s="14"/>
      <c r="C45" s="15"/>
      <c r="D45" s="15"/>
    </row>
    <row r="46" spans="1:7">
      <c r="B46" s="14"/>
      <c r="C46" s="15"/>
      <c r="D46" s="15"/>
    </row>
    <row r="47" spans="1:7">
      <c r="B47" s="14"/>
      <c r="C47" s="15"/>
      <c r="D47" s="15"/>
    </row>
    <row r="48" spans="1:7">
      <c r="B48" s="14"/>
      <c r="C48" s="15"/>
      <c r="D48" s="15"/>
    </row>
    <row r="49" spans="1:4">
      <c r="B49" s="14"/>
      <c r="C49" s="15"/>
      <c r="D49" s="15"/>
    </row>
    <row r="50" spans="1:4">
      <c r="B50" s="14"/>
      <c r="C50" s="15"/>
      <c r="D50" s="15"/>
    </row>
    <row r="51" spans="1:4">
      <c r="A51" s="14"/>
      <c r="B51" s="14"/>
      <c r="C51" s="15"/>
      <c r="D51" s="15"/>
    </row>
    <row r="52" spans="1:4">
      <c r="A52" s="14"/>
      <c r="B52" s="14"/>
      <c r="C52" s="15"/>
      <c r="D52" s="15"/>
    </row>
    <row r="53" spans="1:4">
      <c r="A53" s="14"/>
      <c r="B53" s="14"/>
      <c r="C53" s="15"/>
      <c r="D53" s="15"/>
    </row>
    <row r="54" spans="1:4">
      <c r="A54" s="14"/>
      <c r="B54" s="14"/>
      <c r="C54" s="15"/>
      <c r="D54" s="15"/>
    </row>
    <row r="55" spans="1:4">
      <c r="A55" s="14"/>
      <c r="B55" s="14"/>
      <c r="C55" s="15"/>
      <c r="D55" s="15"/>
    </row>
    <row r="56" spans="1:4">
      <c r="A56" s="14"/>
      <c r="B56" s="14"/>
      <c r="C56" s="15"/>
      <c r="D56" s="15"/>
    </row>
    <row r="57" spans="1:4">
      <c r="A57" s="14"/>
      <c r="B57" s="14"/>
      <c r="C57" s="15"/>
      <c r="D57" s="15"/>
    </row>
    <row r="58" spans="1:4">
      <c r="A58" s="14"/>
      <c r="B58" s="14"/>
      <c r="C58" s="15"/>
      <c r="D58" s="15"/>
    </row>
    <row r="59" spans="1:4">
      <c r="A59" s="14"/>
      <c r="B59" s="14"/>
      <c r="C59" s="15"/>
      <c r="D59" s="15"/>
    </row>
    <row r="60" spans="1:4">
      <c r="A60" s="14"/>
      <c r="B60" s="14"/>
      <c r="C60" s="15"/>
      <c r="D60" s="15"/>
    </row>
    <row r="61" spans="1:4">
      <c r="A61" s="14"/>
      <c r="B61" s="14"/>
      <c r="C61" s="15"/>
      <c r="D61" s="15"/>
    </row>
    <row r="62" spans="1:4">
      <c r="A62" s="14"/>
      <c r="B62" s="14"/>
      <c r="C62" s="15"/>
      <c r="D62" s="15"/>
    </row>
    <row r="63" spans="1:4">
      <c r="A63" s="14"/>
      <c r="B63" s="14"/>
      <c r="C63" s="15"/>
      <c r="D63" s="15"/>
    </row>
    <row r="64" spans="1:4">
      <c r="A64" s="14"/>
      <c r="B64" s="14"/>
      <c r="C64" s="15"/>
      <c r="D64" s="15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5"/>
  <sheetViews>
    <sheetView workbookViewId="0">
      <selection activeCell="B84" sqref="B84:B85"/>
    </sheetView>
    <sheetView topLeftCell="A52" workbookViewId="1">
      <selection activeCell="B45" sqref="B45"/>
    </sheetView>
  </sheetViews>
  <sheetFormatPr defaultColWidth="8.85546875" defaultRowHeight="15"/>
  <cols>
    <col min="1" max="1" width="15.85546875" customWidth="1"/>
    <col min="2" max="2" width="18" customWidth="1"/>
    <col min="4" max="4" width="60.140625" customWidth="1"/>
  </cols>
  <sheetData>
    <row r="1" spans="1:8" ht="45">
      <c r="A1" s="1" t="s">
        <v>544</v>
      </c>
      <c r="B1" s="2" t="s">
        <v>935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938</v>
      </c>
    </row>
    <row r="2" spans="1:8">
      <c r="A2" s="3" t="s">
        <v>556</v>
      </c>
      <c r="B2" s="3" t="s">
        <v>997</v>
      </c>
      <c r="C2" s="3">
        <v>1</v>
      </c>
      <c r="D2" s="3" t="s">
        <v>816</v>
      </c>
      <c r="E2" s="3">
        <v>40</v>
      </c>
      <c r="F2" s="6">
        <v>12500</v>
      </c>
      <c r="G2" s="6">
        <v>500000</v>
      </c>
      <c r="H2" s="6">
        <v>1200000</v>
      </c>
    </row>
    <row r="3" spans="1:8">
      <c r="A3" s="3" t="s">
        <v>556</v>
      </c>
      <c r="B3" s="3" t="s">
        <v>997</v>
      </c>
      <c r="C3" s="3">
        <v>2</v>
      </c>
      <c r="D3" s="3" t="s">
        <v>817</v>
      </c>
      <c r="E3" s="3">
        <v>1</v>
      </c>
      <c r="F3" s="6">
        <v>700000</v>
      </c>
      <c r="G3" s="6">
        <v>700000</v>
      </c>
      <c r="H3" s="3"/>
    </row>
    <row r="4" spans="1:8">
      <c r="A4" s="4" t="s">
        <v>561</v>
      </c>
      <c r="B4" s="4" t="s">
        <v>998</v>
      </c>
      <c r="C4" s="4">
        <v>1</v>
      </c>
      <c r="D4" s="4" t="s">
        <v>818</v>
      </c>
      <c r="E4" s="4">
        <v>12</v>
      </c>
      <c r="F4" s="7">
        <v>75000</v>
      </c>
      <c r="G4" s="7">
        <v>900000</v>
      </c>
      <c r="H4" s="7">
        <v>1800000</v>
      </c>
    </row>
    <row r="5" spans="1:8">
      <c r="A5" s="4" t="s">
        <v>561</v>
      </c>
      <c r="B5" s="4" t="s">
        <v>998</v>
      </c>
      <c r="C5" s="4">
        <v>2</v>
      </c>
      <c r="D5" s="4" t="s">
        <v>819</v>
      </c>
      <c r="E5" s="4">
        <v>1</v>
      </c>
      <c r="F5" s="7">
        <v>600000</v>
      </c>
      <c r="G5" s="7">
        <v>600000</v>
      </c>
      <c r="H5" s="4"/>
    </row>
    <row r="6" spans="1:8">
      <c r="A6" s="4" t="s">
        <v>561</v>
      </c>
      <c r="B6" s="4" t="s">
        <v>998</v>
      </c>
      <c r="C6" s="4">
        <v>3</v>
      </c>
      <c r="D6" s="4" t="s">
        <v>820</v>
      </c>
      <c r="E6" s="4">
        <v>1</v>
      </c>
      <c r="F6" s="7">
        <v>300000</v>
      </c>
      <c r="G6" s="7">
        <v>300000</v>
      </c>
      <c r="H6" s="4"/>
    </row>
    <row r="7" spans="1:8">
      <c r="A7" s="4" t="s">
        <v>568</v>
      </c>
      <c r="B7" s="4" t="s">
        <v>999</v>
      </c>
      <c r="C7" s="4">
        <v>1</v>
      </c>
      <c r="D7" s="4" t="s">
        <v>826</v>
      </c>
      <c r="E7" s="4">
        <v>4</v>
      </c>
      <c r="F7" s="7">
        <v>195000</v>
      </c>
      <c r="G7" s="7">
        <v>780000</v>
      </c>
      <c r="H7" s="7">
        <v>980000</v>
      </c>
    </row>
    <row r="8" spans="1:8">
      <c r="A8" s="4" t="s">
        <v>568</v>
      </c>
      <c r="B8" s="4" t="s">
        <v>999</v>
      </c>
      <c r="C8" s="4">
        <v>2</v>
      </c>
      <c r="D8" s="4" t="s">
        <v>827</v>
      </c>
      <c r="E8" s="4">
        <v>1</v>
      </c>
      <c r="F8" s="7">
        <v>200000</v>
      </c>
      <c r="G8" s="7">
        <v>200000</v>
      </c>
      <c r="H8" s="4"/>
    </row>
    <row r="9" spans="1:8">
      <c r="A9" s="5" t="s">
        <v>572</v>
      </c>
      <c r="B9" s="5" t="s">
        <v>1000</v>
      </c>
      <c r="C9" s="5">
        <v>1</v>
      </c>
      <c r="D9" s="5" t="s">
        <v>830</v>
      </c>
      <c r="E9" s="5">
        <v>25</v>
      </c>
      <c r="F9" s="8">
        <v>18000</v>
      </c>
      <c r="G9" s="8">
        <v>450000</v>
      </c>
      <c r="H9" s="8">
        <v>1330000</v>
      </c>
    </row>
    <row r="10" spans="1:8">
      <c r="A10" s="5" t="s">
        <v>572</v>
      </c>
      <c r="B10" s="5" t="s">
        <v>1000</v>
      </c>
      <c r="C10" s="5">
        <v>2</v>
      </c>
      <c r="D10" s="5" t="s">
        <v>831</v>
      </c>
      <c r="E10" s="5">
        <v>1</v>
      </c>
      <c r="F10" s="8">
        <v>880000</v>
      </c>
      <c r="G10" s="8">
        <v>880000</v>
      </c>
      <c r="H10" s="5"/>
    </row>
    <row r="11" spans="1:8">
      <c r="A11" s="4" t="s">
        <v>576</v>
      </c>
      <c r="B11" s="4" t="s">
        <v>1001</v>
      </c>
      <c r="C11" s="4">
        <v>1</v>
      </c>
      <c r="D11" s="4" t="s">
        <v>832</v>
      </c>
      <c r="E11" s="4">
        <v>50</v>
      </c>
      <c r="F11" s="7">
        <v>3200</v>
      </c>
      <c r="G11" s="7">
        <v>160000</v>
      </c>
      <c r="H11" s="7">
        <v>750000</v>
      </c>
    </row>
    <row r="12" spans="1:8">
      <c r="A12" s="4" t="s">
        <v>576</v>
      </c>
      <c r="B12" s="4" t="s">
        <v>1001</v>
      </c>
      <c r="C12" s="4">
        <v>2</v>
      </c>
      <c r="D12" s="4" t="s">
        <v>833</v>
      </c>
      <c r="E12" s="4">
        <v>1</v>
      </c>
      <c r="F12" s="7">
        <v>590000</v>
      </c>
      <c r="G12" s="7">
        <v>590000</v>
      </c>
      <c r="H12" s="4"/>
    </row>
    <row r="13" spans="1:8">
      <c r="A13" s="5" t="s">
        <v>580</v>
      </c>
      <c r="B13" s="5" t="s">
        <v>1002</v>
      </c>
      <c r="C13" s="5">
        <v>1</v>
      </c>
      <c r="D13" s="5" t="s">
        <v>837</v>
      </c>
      <c r="E13" s="5">
        <v>35</v>
      </c>
      <c r="F13" s="8">
        <v>22000</v>
      </c>
      <c r="G13" s="8">
        <v>770000</v>
      </c>
      <c r="H13" s="8">
        <v>2270000</v>
      </c>
    </row>
    <row r="14" spans="1:8">
      <c r="A14" s="5" t="s">
        <v>580</v>
      </c>
      <c r="B14" s="5" t="s">
        <v>1002</v>
      </c>
      <c r="C14" s="5">
        <v>2</v>
      </c>
      <c r="D14" s="5" t="s">
        <v>838</v>
      </c>
      <c r="E14" s="5">
        <v>1</v>
      </c>
      <c r="F14" s="8">
        <v>1500000</v>
      </c>
      <c r="G14" s="8">
        <v>1500000</v>
      </c>
      <c r="H14" s="5"/>
    </row>
    <row r="15" spans="1:8">
      <c r="A15" s="3" t="s">
        <v>585</v>
      </c>
      <c r="B15" s="3" t="s">
        <v>1003</v>
      </c>
      <c r="C15" s="3">
        <v>1</v>
      </c>
      <c r="D15" s="3" t="s">
        <v>839</v>
      </c>
      <c r="E15" s="3">
        <v>5</v>
      </c>
      <c r="F15" s="6">
        <v>295000</v>
      </c>
      <c r="G15" s="6">
        <v>1475000</v>
      </c>
      <c r="H15" s="6">
        <v>1950000</v>
      </c>
    </row>
    <row r="16" spans="1:8">
      <c r="A16" s="3" t="s">
        <v>585</v>
      </c>
      <c r="B16" s="3" t="s">
        <v>1003</v>
      </c>
      <c r="C16" s="3">
        <v>2</v>
      </c>
      <c r="D16" s="3" t="s">
        <v>840</v>
      </c>
      <c r="E16" s="3">
        <v>1</v>
      </c>
      <c r="F16" s="6">
        <v>475000</v>
      </c>
      <c r="G16" s="6">
        <v>475000</v>
      </c>
      <c r="H16" s="3"/>
    </row>
    <row r="17" spans="1:8">
      <c r="A17" s="5" t="s">
        <v>597</v>
      </c>
      <c r="B17" s="5" t="s">
        <v>1004</v>
      </c>
      <c r="C17" s="5">
        <v>1</v>
      </c>
      <c r="D17" s="5" t="s">
        <v>849</v>
      </c>
      <c r="E17" s="5">
        <v>50</v>
      </c>
      <c r="F17" s="8">
        <v>45000</v>
      </c>
      <c r="G17" s="8">
        <v>2250000</v>
      </c>
      <c r="H17" s="8">
        <v>2500000</v>
      </c>
    </row>
    <row r="18" spans="1:8">
      <c r="A18" s="5" t="s">
        <v>597</v>
      </c>
      <c r="B18" s="5" t="s">
        <v>1004</v>
      </c>
      <c r="C18" s="5">
        <v>2</v>
      </c>
      <c r="D18" s="5" t="s">
        <v>850</v>
      </c>
      <c r="E18" s="5">
        <v>1</v>
      </c>
      <c r="F18" s="8">
        <v>250000</v>
      </c>
      <c r="G18" s="8">
        <v>250000</v>
      </c>
      <c r="H18" s="5"/>
    </row>
    <row r="19" spans="1:8">
      <c r="A19" s="3" t="s">
        <v>601</v>
      </c>
      <c r="B19" s="3" t="s">
        <v>1005</v>
      </c>
      <c r="C19" s="3">
        <v>1</v>
      </c>
      <c r="D19" s="3" t="s">
        <v>851</v>
      </c>
      <c r="E19" s="3">
        <v>10</v>
      </c>
      <c r="F19" s="6">
        <v>38000</v>
      </c>
      <c r="G19" s="6">
        <v>380000</v>
      </c>
      <c r="H19" s="6">
        <v>1600000</v>
      </c>
    </row>
    <row r="20" spans="1:8">
      <c r="A20" s="3" t="s">
        <v>601</v>
      </c>
      <c r="B20" s="3" t="s">
        <v>1005</v>
      </c>
      <c r="C20" s="3">
        <v>2</v>
      </c>
      <c r="D20" s="3" t="s">
        <v>852</v>
      </c>
      <c r="E20" s="3">
        <v>1</v>
      </c>
      <c r="F20" s="6">
        <v>1220000</v>
      </c>
      <c r="G20" s="6">
        <v>1220000</v>
      </c>
      <c r="H20" s="3"/>
    </row>
    <row r="21" spans="1:8">
      <c r="A21" s="5" t="s">
        <v>607</v>
      </c>
      <c r="B21" s="5" t="s">
        <v>1006</v>
      </c>
      <c r="C21" s="5">
        <v>1</v>
      </c>
      <c r="D21" s="5" t="s">
        <v>855</v>
      </c>
      <c r="E21" s="5">
        <v>18</v>
      </c>
      <c r="F21" s="8">
        <v>85000</v>
      </c>
      <c r="G21" s="8">
        <v>1530000</v>
      </c>
      <c r="H21" s="8">
        <v>2050000</v>
      </c>
    </row>
    <row r="22" spans="1:8">
      <c r="A22" s="5" t="s">
        <v>607</v>
      </c>
      <c r="B22" s="5" t="s">
        <v>1006</v>
      </c>
      <c r="C22" s="5">
        <v>2</v>
      </c>
      <c r="D22" s="5" t="s">
        <v>856</v>
      </c>
      <c r="E22" s="5">
        <v>1</v>
      </c>
      <c r="F22" s="8">
        <v>870000</v>
      </c>
      <c r="G22" s="8">
        <v>520000</v>
      </c>
      <c r="H22" s="5"/>
    </row>
    <row r="23" spans="1:8">
      <c r="A23" s="3" t="s">
        <v>609</v>
      </c>
      <c r="B23" s="3" t="s">
        <v>1007</v>
      </c>
      <c r="C23" s="3">
        <v>1</v>
      </c>
      <c r="D23" s="3" t="s">
        <v>857</v>
      </c>
      <c r="E23" s="3">
        <v>2</v>
      </c>
      <c r="F23" s="6">
        <v>720000</v>
      </c>
      <c r="G23" s="6">
        <v>1440000</v>
      </c>
      <c r="H23" s="6">
        <v>1770000</v>
      </c>
    </row>
    <row r="24" spans="1:8">
      <c r="A24" s="3" t="s">
        <v>609</v>
      </c>
      <c r="B24" s="3" t="s">
        <v>1008</v>
      </c>
      <c r="C24" s="3">
        <v>2</v>
      </c>
      <c r="D24" s="3" t="s">
        <v>858</v>
      </c>
      <c r="E24" s="3">
        <v>1</v>
      </c>
      <c r="F24" s="6">
        <v>330000</v>
      </c>
      <c r="G24" s="6">
        <v>330000</v>
      </c>
      <c r="H24" s="3"/>
    </row>
    <row r="25" spans="1:8">
      <c r="A25" s="3" t="s">
        <v>611</v>
      </c>
      <c r="B25" s="3" t="s">
        <v>1008</v>
      </c>
      <c r="C25" s="3">
        <v>1</v>
      </c>
      <c r="D25" s="3" t="s">
        <v>859</v>
      </c>
      <c r="E25" s="3">
        <v>200</v>
      </c>
      <c r="F25" s="6">
        <v>1200</v>
      </c>
      <c r="G25" s="6">
        <v>240000</v>
      </c>
      <c r="H25" s="6">
        <v>3500000</v>
      </c>
    </row>
    <row r="26" spans="1:8">
      <c r="A26" s="3" t="s">
        <v>611</v>
      </c>
      <c r="B26" s="3" t="s">
        <v>1008</v>
      </c>
      <c r="C26" s="3">
        <v>2</v>
      </c>
      <c r="D26" s="3" t="s">
        <v>860</v>
      </c>
      <c r="E26" s="3">
        <v>1</v>
      </c>
      <c r="F26" s="6">
        <v>2300000</v>
      </c>
      <c r="G26" s="6">
        <v>2300000</v>
      </c>
      <c r="H26" s="3"/>
    </row>
    <row r="27" spans="1:8">
      <c r="A27" s="3" t="s">
        <v>611</v>
      </c>
      <c r="B27" s="3" t="s">
        <v>1008</v>
      </c>
      <c r="C27" s="3">
        <v>3</v>
      </c>
      <c r="D27" s="3" t="s">
        <v>861</v>
      </c>
      <c r="E27" s="3">
        <v>1</v>
      </c>
      <c r="F27" s="6">
        <v>960000</v>
      </c>
      <c r="G27" s="6">
        <v>960000</v>
      </c>
      <c r="H27" s="3"/>
    </row>
    <row r="28" spans="1:8">
      <c r="A28" s="3" t="s">
        <v>615</v>
      </c>
      <c r="B28" s="3" t="s">
        <v>1008</v>
      </c>
      <c r="C28" s="3">
        <v>1</v>
      </c>
      <c r="D28" s="3" t="s">
        <v>862</v>
      </c>
      <c r="E28" s="3">
        <v>60</v>
      </c>
      <c r="F28" s="6">
        <v>4800</v>
      </c>
      <c r="G28" s="6">
        <v>288000</v>
      </c>
      <c r="H28" s="6">
        <v>1920000</v>
      </c>
    </row>
    <row r="29" spans="1:8">
      <c r="A29" s="3" t="s">
        <v>615</v>
      </c>
      <c r="B29" s="3" t="s">
        <v>1008</v>
      </c>
      <c r="C29" s="3">
        <v>2</v>
      </c>
      <c r="D29" s="3" t="s">
        <v>863</v>
      </c>
      <c r="E29" s="3">
        <v>1</v>
      </c>
      <c r="F29" s="6">
        <v>1632000</v>
      </c>
      <c r="G29" s="6">
        <v>1632000</v>
      </c>
      <c r="H29" s="3"/>
    </row>
    <row r="30" spans="1:8">
      <c r="A30" s="5" t="s">
        <v>621</v>
      </c>
      <c r="B30" s="5" t="s">
        <v>1009</v>
      </c>
      <c r="C30" s="5">
        <v>1</v>
      </c>
      <c r="D30" s="5" t="s">
        <v>868</v>
      </c>
      <c r="E30" s="5">
        <v>8</v>
      </c>
      <c r="F30" s="8">
        <v>68000</v>
      </c>
      <c r="G30" s="8">
        <v>544000</v>
      </c>
      <c r="H30" s="8">
        <v>670000</v>
      </c>
    </row>
    <row r="31" spans="1:8">
      <c r="A31" s="5" t="s">
        <v>621</v>
      </c>
      <c r="B31" s="5" t="s">
        <v>1009</v>
      </c>
      <c r="C31" s="5">
        <v>2</v>
      </c>
      <c r="D31" s="5" t="s">
        <v>869</v>
      </c>
      <c r="E31" s="5">
        <v>1</v>
      </c>
      <c r="F31" s="8">
        <v>126000</v>
      </c>
      <c r="G31" s="8">
        <v>126000</v>
      </c>
      <c r="H31" s="5"/>
    </row>
    <row r="32" spans="1:8">
      <c r="A32" s="4" t="s">
        <v>623</v>
      </c>
      <c r="B32" s="4" t="s">
        <v>1010</v>
      </c>
      <c r="C32" s="4">
        <v>1</v>
      </c>
      <c r="D32" s="4" t="s">
        <v>870</v>
      </c>
      <c r="E32" s="4">
        <v>50</v>
      </c>
      <c r="F32" s="7">
        <v>32000</v>
      </c>
      <c r="G32" s="7">
        <v>1600000</v>
      </c>
      <c r="H32" s="7">
        <v>2870000</v>
      </c>
    </row>
    <row r="33" spans="1:8">
      <c r="A33" s="4" t="s">
        <v>623</v>
      </c>
      <c r="B33" s="4" t="s">
        <v>1010</v>
      </c>
      <c r="C33" s="4">
        <v>2</v>
      </c>
      <c r="D33" s="4" t="s">
        <v>871</v>
      </c>
      <c r="E33" s="4">
        <v>1</v>
      </c>
      <c r="F33" s="7">
        <v>840000</v>
      </c>
      <c r="G33" s="7">
        <v>1270000</v>
      </c>
      <c r="H33" s="4"/>
    </row>
    <row r="34" spans="1:8">
      <c r="A34" s="5" t="s">
        <v>629</v>
      </c>
      <c r="B34" s="5" t="s">
        <v>1011</v>
      </c>
      <c r="C34" s="5">
        <v>1</v>
      </c>
      <c r="D34" s="5" t="s">
        <v>874</v>
      </c>
      <c r="E34" s="5">
        <v>5</v>
      </c>
      <c r="F34" s="8">
        <v>380000</v>
      </c>
      <c r="G34" s="8">
        <v>1900000</v>
      </c>
      <c r="H34" s="8">
        <v>2200000</v>
      </c>
    </row>
    <row r="35" spans="1:8">
      <c r="A35" s="5" t="s">
        <v>629</v>
      </c>
      <c r="B35" s="5" t="s">
        <v>1011</v>
      </c>
      <c r="C35" s="5">
        <v>2</v>
      </c>
      <c r="D35" s="5" t="s">
        <v>875</v>
      </c>
      <c r="E35" s="5">
        <v>1</v>
      </c>
      <c r="F35" s="8">
        <v>300000</v>
      </c>
      <c r="G35" s="8">
        <v>300000</v>
      </c>
      <c r="H35" s="5"/>
    </row>
    <row r="36" spans="1:8">
      <c r="A36" s="4" t="s">
        <v>633</v>
      </c>
      <c r="B36" s="4" t="s">
        <v>1012</v>
      </c>
      <c r="C36" s="4">
        <v>1</v>
      </c>
      <c r="D36" s="4" t="s">
        <v>876</v>
      </c>
      <c r="E36" s="4">
        <v>500</v>
      </c>
      <c r="F36" s="7">
        <v>4500</v>
      </c>
      <c r="G36" s="7">
        <v>2250000</v>
      </c>
      <c r="H36" s="7">
        <v>3920000</v>
      </c>
    </row>
    <row r="37" spans="1:8">
      <c r="A37" s="4" t="s">
        <v>633</v>
      </c>
      <c r="B37" s="4" t="s">
        <v>1012</v>
      </c>
      <c r="C37" s="4">
        <v>2</v>
      </c>
      <c r="D37" s="4" t="s">
        <v>877</v>
      </c>
      <c r="E37" s="4">
        <v>1</v>
      </c>
      <c r="F37" s="7">
        <v>760000</v>
      </c>
      <c r="G37" s="7">
        <v>1670000</v>
      </c>
      <c r="H37" s="4"/>
    </row>
    <row r="38" spans="1:8">
      <c r="A38" s="5" t="s">
        <v>639</v>
      </c>
      <c r="B38" s="5" t="s">
        <v>1013</v>
      </c>
      <c r="C38" s="5">
        <v>1</v>
      </c>
      <c r="D38" s="5" t="s">
        <v>880</v>
      </c>
      <c r="E38" s="5">
        <v>6</v>
      </c>
      <c r="F38" s="8">
        <v>85000</v>
      </c>
      <c r="G38" s="8">
        <v>510000</v>
      </c>
      <c r="H38" s="8">
        <v>690000</v>
      </c>
    </row>
    <row r="39" spans="1:8">
      <c r="A39" s="5" t="s">
        <v>639</v>
      </c>
      <c r="B39" s="5" t="s">
        <v>1013</v>
      </c>
      <c r="C39" s="5">
        <v>2</v>
      </c>
      <c r="D39" s="5" t="s">
        <v>881</v>
      </c>
      <c r="E39" s="5">
        <v>1</v>
      </c>
      <c r="F39" s="8">
        <v>180000</v>
      </c>
      <c r="G39" s="8">
        <v>180000</v>
      </c>
      <c r="H39" s="5"/>
    </row>
    <row r="40" spans="1:8">
      <c r="A40" s="4" t="s">
        <v>645</v>
      </c>
      <c r="B40" s="4" t="s">
        <v>1014</v>
      </c>
      <c r="C40" s="4">
        <v>1</v>
      </c>
      <c r="D40" s="4" t="s">
        <v>886</v>
      </c>
      <c r="E40" s="4">
        <v>120</v>
      </c>
      <c r="F40" s="7">
        <v>1800</v>
      </c>
      <c r="G40" s="7">
        <v>216000</v>
      </c>
      <c r="H40" s="7">
        <v>1570000</v>
      </c>
    </row>
    <row r="41" spans="1:8">
      <c r="A41" s="4" t="s">
        <v>645</v>
      </c>
      <c r="B41" s="4" t="s">
        <v>1014</v>
      </c>
      <c r="C41" s="4">
        <v>2</v>
      </c>
      <c r="D41" s="4" t="s">
        <v>887</v>
      </c>
      <c r="E41" s="4">
        <v>1</v>
      </c>
      <c r="F41" s="7">
        <v>1354000</v>
      </c>
      <c r="G41" s="7">
        <v>1354000</v>
      </c>
      <c r="H41" s="4"/>
    </row>
    <row r="42" spans="1:8">
      <c r="A42" s="4" t="s">
        <v>647</v>
      </c>
      <c r="B42" s="4" t="s">
        <v>1015</v>
      </c>
      <c r="C42" s="4">
        <v>1</v>
      </c>
      <c r="D42" s="4" t="s">
        <v>888</v>
      </c>
      <c r="E42" s="4">
        <v>50</v>
      </c>
      <c r="F42" s="7">
        <v>48000</v>
      </c>
      <c r="G42" s="7">
        <v>2400000</v>
      </c>
      <c r="H42" s="7">
        <v>3690000</v>
      </c>
    </row>
    <row r="43" spans="1:8">
      <c r="A43" s="4" t="s">
        <v>647</v>
      </c>
      <c r="B43" s="4" t="s">
        <v>1015</v>
      </c>
      <c r="C43" s="4">
        <v>2</v>
      </c>
      <c r="D43" s="4" t="s">
        <v>889</v>
      </c>
      <c r="E43" s="4">
        <v>1</v>
      </c>
      <c r="F43" s="7">
        <v>390000</v>
      </c>
      <c r="G43" s="7">
        <v>1290000</v>
      </c>
      <c r="H43" s="4"/>
    </row>
    <row r="44" spans="1:8">
      <c r="A44" s="4" t="s">
        <v>691</v>
      </c>
      <c r="B44" s="4" t="s">
        <v>1016</v>
      </c>
      <c r="C44" s="4">
        <v>1</v>
      </c>
      <c r="D44" s="4" t="s">
        <v>890</v>
      </c>
      <c r="E44" s="4">
        <v>5</v>
      </c>
      <c r="F44" s="7">
        <v>250000</v>
      </c>
      <c r="G44" s="7">
        <v>1250000</v>
      </c>
      <c r="H44" s="7">
        <v>1950000</v>
      </c>
    </row>
    <row r="45" spans="1:8">
      <c r="A45" s="4" t="s">
        <v>691</v>
      </c>
      <c r="B45" s="4" t="s">
        <v>1016</v>
      </c>
      <c r="C45" s="4">
        <v>2</v>
      </c>
      <c r="D45" s="4" t="s">
        <v>891</v>
      </c>
      <c r="E45" s="4">
        <v>1</v>
      </c>
      <c r="F45" s="7">
        <v>700000</v>
      </c>
      <c r="G45" s="7">
        <v>700000</v>
      </c>
      <c r="H45" s="4"/>
    </row>
    <row r="46" spans="1:8">
      <c r="A46" s="4" t="s">
        <v>693</v>
      </c>
      <c r="B46" s="4" t="s">
        <v>1017</v>
      </c>
      <c r="C46" s="4">
        <v>1</v>
      </c>
      <c r="D46" s="4" t="s">
        <v>892</v>
      </c>
      <c r="E46" s="4">
        <v>8</v>
      </c>
      <c r="F46" s="7">
        <v>220000</v>
      </c>
      <c r="G46" s="7">
        <v>1760000</v>
      </c>
      <c r="H46" s="7">
        <v>2720000</v>
      </c>
    </row>
    <row r="47" spans="1:8">
      <c r="A47" s="4" t="s">
        <v>693</v>
      </c>
      <c r="B47" s="4" t="s">
        <v>1017</v>
      </c>
      <c r="C47" s="4">
        <v>2</v>
      </c>
      <c r="D47" s="4" t="s">
        <v>893</v>
      </c>
      <c r="E47" s="4">
        <v>1</v>
      </c>
      <c r="F47" s="7">
        <v>960000</v>
      </c>
      <c r="G47" s="7">
        <v>960000</v>
      </c>
      <c r="H47" s="4"/>
    </row>
    <row r="48" spans="1:8">
      <c r="A48" s="3" t="s">
        <v>695</v>
      </c>
      <c r="B48" s="3" t="s">
        <v>1018</v>
      </c>
      <c r="C48" s="3">
        <v>1</v>
      </c>
      <c r="D48" s="3" t="s">
        <v>894</v>
      </c>
      <c r="E48" s="3">
        <v>10</v>
      </c>
      <c r="F48" s="6">
        <v>85000</v>
      </c>
      <c r="G48" s="6">
        <v>850000</v>
      </c>
      <c r="H48" s="6">
        <v>1180000</v>
      </c>
    </row>
    <row r="49" spans="1:8">
      <c r="A49" s="3" t="s">
        <v>695</v>
      </c>
      <c r="B49" s="3" t="s">
        <v>1018</v>
      </c>
      <c r="C49" s="3">
        <v>2</v>
      </c>
      <c r="D49" s="3" t="s">
        <v>895</v>
      </c>
      <c r="E49" s="3">
        <v>1</v>
      </c>
      <c r="F49" s="6">
        <v>330000</v>
      </c>
      <c r="G49" s="6">
        <v>330000</v>
      </c>
      <c r="H49" s="3"/>
    </row>
    <row r="50" spans="1:8">
      <c r="A50" s="3" t="s">
        <v>697</v>
      </c>
      <c r="B50" s="3" t="s">
        <v>1019</v>
      </c>
      <c r="C50" s="3">
        <v>1</v>
      </c>
      <c r="D50" s="3" t="s">
        <v>896</v>
      </c>
      <c r="E50" s="3">
        <v>3</v>
      </c>
      <c r="F50" s="6">
        <v>780000</v>
      </c>
      <c r="G50" s="6">
        <v>2340000</v>
      </c>
      <c r="H50" s="6">
        <v>3140000</v>
      </c>
    </row>
    <row r="51" spans="1:8">
      <c r="A51" s="3" t="s">
        <v>697</v>
      </c>
      <c r="B51" s="3" t="s">
        <v>1019</v>
      </c>
      <c r="C51" s="3">
        <v>2</v>
      </c>
      <c r="D51" s="3" t="s">
        <v>897</v>
      </c>
      <c r="E51" s="3">
        <v>1</v>
      </c>
      <c r="F51" s="6">
        <v>800000</v>
      </c>
      <c r="G51" s="6">
        <v>800000</v>
      </c>
      <c r="H51" s="3"/>
    </row>
    <row r="52" spans="1:8">
      <c r="A52" s="3" t="s">
        <v>699</v>
      </c>
      <c r="B52" s="3" t="s">
        <v>1020</v>
      </c>
      <c r="C52" s="3">
        <v>1</v>
      </c>
      <c r="D52" s="3" t="s">
        <v>898</v>
      </c>
      <c r="E52" s="3">
        <v>50</v>
      </c>
      <c r="F52" s="6">
        <v>12000</v>
      </c>
      <c r="G52" s="6">
        <v>600000</v>
      </c>
      <c r="H52" s="6">
        <v>860000</v>
      </c>
    </row>
    <row r="53" spans="1:8">
      <c r="A53" s="3" t="s">
        <v>699</v>
      </c>
      <c r="B53" s="3" t="s">
        <v>1020</v>
      </c>
      <c r="C53" s="3">
        <v>2</v>
      </c>
      <c r="D53" s="3" t="s">
        <v>899</v>
      </c>
      <c r="E53" s="3">
        <v>1</v>
      </c>
      <c r="F53" s="6">
        <v>260000</v>
      </c>
      <c r="G53" s="6">
        <v>260000</v>
      </c>
      <c r="H53" s="3"/>
    </row>
    <row r="54" spans="1:8">
      <c r="A54" s="5" t="s">
        <v>701</v>
      </c>
      <c r="B54" s="5" t="s">
        <v>1021</v>
      </c>
      <c r="C54" s="5">
        <v>1</v>
      </c>
      <c r="D54" s="5" t="s">
        <v>900</v>
      </c>
      <c r="E54" s="5">
        <v>12</v>
      </c>
      <c r="F54" s="8">
        <v>280000</v>
      </c>
      <c r="G54" s="8">
        <v>3360000</v>
      </c>
      <c r="H54" s="8">
        <v>4210000</v>
      </c>
    </row>
    <row r="55" spans="1:8">
      <c r="A55" s="5" t="s">
        <v>701</v>
      </c>
      <c r="B55" s="5" t="s">
        <v>1021</v>
      </c>
      <c r="C55" s="5">
        <v>2</v>
      </c>
      <c r="D55" s="5" t="s">
        <v>901</v>
      </c>
      <c r="E55" s="5">
        <v>1</v>
      </c>
      <c r="F55" s="8">
        <v>850000</v>
      </c>
      <c r="G55" s="8">
        <v>850000</v>
      </c>
      <c r="H55" s="5"/>
    </row>
    <row r="56" spans="1:8">
      <c r="A56" s="5" t="s">
        <v>703</v>
      </c>
      <c r="B56" s="5" t="s">
        <v>1022</v>
      </c>
      <c r="C56" s="5">
        <v>1</v>
      </c>
      <c r="D56" s="5" t="s">
        <v>902</v>
      </c>
      <c r="E56" s="5">
        <v>200</v>
      </c>
      <c r="F56" s="8">
        <v>6500</v>
      </c>
      <c r="G56" s="8">
        <v>1300000</v>
      </c>
      <c r="H56" s="8">
        <v>1570000</v>
      </c>
    </row>
    <row r="57" spans="1:8">
      <c r="A57" s="5" t="s">
        <v>703</v>
      </c>
      <c r="B57" s="5" t="s">
        <v>1022</v>
      </c>
      <c r="C57" s="5">
        <v>2</v>
      </c>
      <c r="D57" s="5" t="s">
        <v>903</v>
      </c>
      <c r="E57" s="5">
        <v>1</v>
      </c>
      <c r="F57" s="8">
        <v>270000</v>
      </c>
      <c r="G57" s="8">
        <v>270000</v>
      </c>
      <c r="H57" s="5"/>
    </row>
    <row r="58" spans="1:8">
      <c r="A58" s="4" t="s">
        <v>705</v>
      </c>
      <c r="B58" s="4" t="s">
        <v>1023</v>
      </c>
      <c r="C58" s="4">
        <v>1</v>
      </c>
      <c r="D58" s="4" t="s">
        <v>904</v>
      </c>
      <c r="E58" s="4">
        <v>15</v>
      </c>
      <c r="F58" s="7">
        <v>120000</v>
      </c>
      <c r="G58" s="7">
        <v>1800000</v>
      </c>
      <c r="H58" s="7">
        <v>2380000</v>
      </c>
    </row>
    <row r="59" spans="1:8">
      <c r="A59" s="4" t="s">
        <v>705</v>
      </c>
      <c r="B59" s="4" t="s">
        <v>1023</v>
      </c>
      <c r="C59" s="4">
        <v>2</v>
      </c>
      <c r="D59" s="4" t="s">
        <v>905</v>
      </c>
      <c r="E59" s="4">
        <v>1</v>
      </c>
      <c r="F59" s="7">
        <v>580000</v>
      </c>
      <c r="G59" s="7">
        <v>580000</v>
      </c>
      <c r="H59" s="4"/>
    </row>
    <row r="60" spans="1:8">
      <c r="A60" s="4" t="s">
        <v>707</v>
      </c>
      <c r="B60" s="4" t="s">
        <v>1024</v>
      </c>
      <c r="C60" s="4">
        <v>1</v>
      </c>
      <c r="D60" s="4" t="s">
        <v>906</v>
      </c>
      <c r="E60" s="4">
        <v>80</v>
      </c>
      <c r="F60" s="7">
        <v>14000</v>
      </c>
      <c r="G60" s="7">
        <v>1120000</v>
      </c>
      <c r="H60" s="7">
        <v>1730000</v>
      </c>
    </row>
    <row r="61" spans="1:8">
      <c r="A61" s="4" t="s">
        <v>707</v>
      </c>
      <c r="B61" s="4" t="s">
        <v>1024</v>
      </c>
      <c r="C61" s="4">
        <v>2</v>
      </c>
      <c r="D61" s="4" t="s">
        <v>907</v>
      </c>
      <c r="E61" s="4">
        <v>1</v>
      </c>
      <c r="F61" s="7">
        <v>610000</v>
      </c>
      <c r="G61" s="7">
        <v>610000</v>
      </c>
      <c r="H61" s="4"/>
    </row>
    <row r="62" spans="1:8">
      <c r="A62" s="3" t="s">
        <v>709</v>
      </c>
      <c r="B62" s="3" t="s">
        <v>1025</v>
      </c>
      <c r="C62" s="3">
        <v>1</v>
      </c>
      <c r="D62" s="3" t="s">
        <v>908</v>
      </c>
      <c r="E62" s="3">
        <v>4</v>
      </c>
      <c r="F62" s="6">
        <v>520000</v>
      </c>
      <c r="G62" s="6">
        <v>2080000</v>
      </c>
      <c r="H62" s="6">
        <v>2990000</v>
      </c>
    </row>
    <row r="63" spans="1:8">
      <c r="A63" s="3" t="s">
        <v>709</v>
      </c>
      <c r="B63" s="3" t="s">
        <v>1025</v>
      </c>
      <c r="C63" s="3">
        <v>2</v>
      </c>
      <c r="D63" s="3" t="s">
        <v>909</v>
      </c>
      <c r="E63" s="3">
        <v>1</v>
      </c>
      <c r="F63" s="6">
        <v>910000</v>
      </c>
      <c r="G63" s="6">
        <v>910000</v>
      </c>
      <c r="H63" s="3"/>
    </row>
    <row r="64" spans="1:8">
      <c r="A64" s="3" t="s">
        <v>711</v>
      </c>
      <c r="B64" s="3" t="s">
        <v>1026</v>
      </c>
      <c r="C64" s="3">
        <v>1</v>
      </c>
      <c r="D64" s="3" t="s">
        <v>910</v>
      </c>
      <c r="E64" s="3">
        <v>20</v>
      </c>
      <c r="F64" s="6">
        <v>48000</v>
      </c>
      <c r="G64" s="6">
        <v>960000</v>
      </c>
      <c r="H64" s="6">
        <v>1410000</v>
      </c>
    </row>
    <row r="65" spans="1:8">
      <c r="A65" s="3" t="s">
        <v>711</v>
      </c>
      <c r="B65" s="3" t="s">
        <v>1026</v>
      </c>
      <c r="C65" s="3">
        <v>2</v>
      </c>
      <c r="D65" s="3" t="s">
        <v>911</v>
      </c>
      <c r="E65" s="3">
        <v>1</v>
      </c>
      <c r="F65" s="6">
        <v>450000</v>
      </c>
      <c r="G65" s="6">
        <v>450000</v>
      </c>
      <c r="H65" s="3"/>
    </row>
    <row r="66" spans="1:8">
      <c r="A66" s="3" t="s">
        <v>713</v>
      </c>
      <c r="B66" s="3" t="s">
        <v>1027</v>
      </c>
      <c r="C66" s="3">
        <v>1</v>
      </c>
      <c r="D66" s="3" t="s">
        <v>912</v>
      </c>
      <c r="E66" s="3">
        <v>2</v>
      </c>
      <c r="F66" s="6">
        <v>1450000</v>
      </c>
      <c r="G66" s="6">
        <v>2900000</v>
      </c>
      <c r="H66" s="6">
        <v>3550000</v>
      </c>
    </row>
    <row r="67" spans="1:8">
      <c r="A67" s="3" t="s">
        <v>713</v>
      </c>
      <c r="B67" s="3" t="s">
        <v>1027</v>
      </c>
      <c r="C67" s="3">
        <v>2</v>
      </c>
      <c r="D67" s="3" t="s">
        <v>913</v>
      </c>
      <c r="E67" s="3">
        <v>1</v>
      </c>
      <c r="F67" s="6">
        <v>650000</v>
      </c>
      <c r="G67" s="6">
        <v>650000</v>
      </c>
      <c r="H67" s="3"/>
    </row>
    <row r="68" spans="1:8">
      <c r="A68" s="5" t="s">
        <v>715</v>
      </c>
      <c r="B68" s="5" t="s">
        <v>1028</v>
      </c>
      <c r="C68" s="5">
        <v>1</v>
      </c>
      <c r="D68" s="5" t="s">
        <v>914</v>
      </c>
      <c r="E68" s="5">
        <v>25</v>
      </c>
      <c r="F68" s="8">
        <v>32000</v>
      </c>
      <c r="G68" s="8">
        <v>800000</v>
      </c>
      <c r="H68" s="8">
        <v>1090000</v>
      </c>
    </row>
    <row r="69" spans="1:8">
      <c r="A69" s="5" t="s">
        <v>715</v>
      </c>
      <c r="B69" s="5" t="s">
        <v>1028</v>
      </c>
      <c r="C69" s="5">
        <v>2</v>
      </c>
      <c r="D69" s="5" t="s">
        <v>915</v>
      </c>
      <c r="E69" s="5">
        <v>1</v>
      </c>
      <c r="F69" s="8">
        <v>290000</v>
      </c>
      <c r="G69" s="8">
        <v>290000</v>
      </c>
      <c r="H69" s="5"/>
    </row>
    <row r="70" spans="1:8">
      <c r="A70" s="4" t="s">
        <v>717</v>
      </c>
      <c r="B70" s="4" t="s">
        <v>1029</v>
      </c>
      <c r="C70" s="4">
        <v>1</v>
      </c>
      <c r="D70" s="4" t="s">
        <v>916</v>
      </c>
      <c r="E70" s="4">
        <v>18</v>
      </c>
      <c r="F70" s="7">
        <v>95000</v>
      </c>
      <c r="G70" s="7">
        <v>1710000</v>
      </c>
      <c r="H70" s="7">
        <v>2340000</v>
      </c>
    </row>
    <row r="71" spans="1:8">
      <c r="A71" s="4" t="s">
        <v>717</v>
      </c>
      <c r="B71" s="4" t="s">
        <v>1029</v>
      </c>
      <c r="C71" s="4">
        <v>2</v>
      </c>
      <c r="D71" s="4" t="s">
        <v>917</v>
      </c>
      <c r="E71" s="4">
        <v>1</v>
      </c>
      <c r="F71" s="7">
        <v>630000</v>
      </c>
      <c r="G71" s="7">
        <v>630000</v>
      </c>
      <c r="H71" s="4"/>
    </row>
    <row r="72" spans="1:8">
      <c r="A72" s="4" t="s">
        <v>719</v>
      </c>
      <c r="B72" s="4" t="s">
        <v>1030</v>
      </c>
      <c r="C72" s="4">
        <v>1</v>
      </c>
      <c r="D72" s="4" t="s">
        <v>918</v>
      </c>
      <c r="E72" s="4">
        <v>30</v>
      </c>
      <c r="F72" s="7">
        <v>48000</v>
      </c>
      <c r="G72" s="7">
        <v>1440000</v>
      </c>
      <c r="H72" s="7">
        <v>1890000</v>
      </c>
    </row>
    <row r="73" spans="1:8">
      <c r="A73" s="4" t="s">
        <v>719</v>
      </c>
      <c r="B73" s="4" t="s">
        <v>1030</v>
      </c>
      <c r="C73" s="4">
        <v>2</v>
      </c>
      <c r="D73" s="4" t="s">
        <v>919</v>
      </c>
      <c r="E73" s="4">
        <v>1</v>
      </c>
      <c r="F73" s="7">
        <v>450000</v>
      </c>
      <c r="G73" s="7">
        <v>450000</v>
      </c>
      <c r="H73" s="4"/>
    </row>
    <row r="74" spans="1:8">
      <c r="A74" s="3" t="s">
        <v>721</v>
      </c>
      <c r="B74" s="3" t="s">
        <v>1031</v>
      </c>
      <c r="C74" s="3">
        <v>1</v>
      </c>
      <c r="D74" s="3" t="s">
        <v>920</v>
      </c>
      <c r="E74" s="3">
        <v>50</v>
      </c>
      <c r="F74" s="6">
        <v>42000</v>
      </c>
      <c r="G74" s="6">
        <v>2100000</v>
      </c>
      <c r="H74" s="6">
        <v>3120000</v>
      </c>
    </row>
    <row r="75" spans="1:8">
      <c r="A75" s="3" t="s">
        <v>721</v>
      </c>
      <c r="B75" s="3" t="s">
        <v>1031</v>
      </c>
      <c r="C75" s="3">
        <v>2</v>
      </c>
      <c r="D75" s="3" t="s">
        <v>921</v>
      </c>
      <c r="E75" s="3">
        <v>1</v>
      </c>
      <c r="F75" s="6">
        <v>1020000</v>
      </c>
      <c r="G75" s="6">
        <v>1020000</v>
      </c>
      <c r="H75" s="3"/>
    </row>
    <row r="76" spans="1:8">
      <c r="A76" s="4" t="s">
        <v>723</v>
      </c>
      <c r="B76" s="4" t="s">
        <v>1032</v>
      </c>
      <c r="C76" s="4">
        <v>1</v>
      </c>
      <c r="D76" s="4" t="s">
        <v>922</v>
      </c>
      <c r="E76" s="4">
        <v>100</v>
      </c>
      <c r="F76" s="7">
        <v>11500</v>
      </c>
      <c r="G76" s="7">
        <v>1150000</v>
      </c>
      <c r="H76" s="7">
        <v>1650000</v>
      </c>
    </row>
    <row r="77" spans="1:8">
      <c r="A77" s="4" t="s">
        <v>723</v>
      </c>
      <c r="B77" s="4" t="s">
        <v>1032</v>
      </c>
      <c r="C77" s="4">
        <v>2</v>
      </c>
      <c r="D77" s="4" t="s">
        <v>923</v>
      </c>
      <c r="E77" s="4">
        <v>1</v>
      </c>
      <c r="F77" s="7">
        <v>500000</v>
      </c>
      <c r="G77" s="7">
        <v>500000</v>
      </c>
      <c r="H77" s="4"/>
    </row>
    <row r="78" spans="1:8">
      <c r="A78" s="4" t="s">
        <v>725</v>
      </c>
      <c r="B78" s="4" t="s">
        <v>1033</v>
      </c>
      <c r="C78" s="4">
        <v>1</v>
      </c>
      <c r="D78" s="4" t="s">
        <v>924</v>
      </c>
      <c r="E78" s="4">
        <v>1</v>
      </c>
      <c r="F78" s="7">
        <v>3200000</v>
      </c>
      <c r="G78" s="7">
        <v>3200000</v>
      </c>
      <c r="H78" s="7">
        <v>4050000</v>
      </c>
    </row>
    <row r="79" spans="1:8">
      <c r="A79" s="4" t="s">
        <v>725</v>
      </c>
      <c r="B79" s="4" t="s">
        <v>1033</v>
      </c>
      <c r="C79" s="4">
        <v>2</v>
      </c>
      <c r="D79" s="4" t="s">
        <v>925</v>
      </c>
      <c r="E79" s="4">
        <v>1</v>
      </c>
      <c r="F79" s="7">
        <v>850000</v>
      </c>
      <c r="G79" s="7">
        <v>850000</v>
      </c>
      <c r="H79" s="4"/>
    </row>
    <row r="80" spans="1:8">
      <c r="A80" s="3" t="s">
        <v>727</v>
      </c>
      <c r="B80" s="3" t="s">
        <v>1034</v>
      </c>
      <c r="C80" s="3">
        <v>1</v>
      </c>
      <c r="D80" s="3" t="s">
        <v>926</v>
      </c>
      <c r="E80" s="3">
        <v>15</v>
      </c>
      <c r="F80" s="6">
        <v>125000</v>
      </c>
      <c r="G80" s="6">
        <v>1875000</v>
      </c>
      <c r="H80" s="6">
        <v>2760000</v>
      </c>
    </row>
    <row r="81" spans="1:8">
      <c r="A81" s="3" t="s">
        <v>727</v>
      </c>
      <c r="B81" s="3" t="s">
        <v>1034</v>
      </c>
      <c r="C81" s="3">
        <v>2</v>
      </c>
      <c r="D81" s="3" t="s">
        <v>927</v>
      </c>
      <c r="E81" s="3">
        <v>1</v>
      </c>
      <c r="F81" s="6">
        <v>885000</v>
      </c>
      <c r="G81" s="6">
        <v>885000</v>
      </c>
      <c r="H81" s="3"/>
    </row>
    <row r="82" spans="1:8">
      <c r="A82" s="3" t="s">
        <v>729</v>
      </c>
      <c r="B82" s="3" t="s">
        <v>1035</v>
      </c>
      <c r="C82" s="3">
        <v>1</v>
      </c>
      <c r="D82" s="3" t="s">
        <v>928</v>
      </c>
      <c r="E82" s="3">
        <v>300</v>
      </c>
      <c r="F82" s="6">
        <v>3800</v>
      </c>
      <c r="G82" s="6">
        <v>1140000</v>
      </c>
      <c r="H82" s="6">
        <v>1480000</v>
      </c>
    </row>
    <row r="83" spans="1:8">
      <c r="A83" s="3" t="s">
        <v>729</v>
      </c>
      <c r="B83" s="3" t="s">
        <v>1035</v>
      </c>
      <c r="C83" s="3">
        <v>2</v>
      </c>
      <c r="D83" s="3" t="s">
        <v>929</v>
      </c>
      <c r="E83" s="3">
        <v>1</v>
      </c>
      <c r="F83" s="6">
        <v>340000</v>
      </c>
      <c r="G83" s="6">
        <v>340000</v>
      </c>
      <c r="H83" s="3"/>
    </row>
    <row r="84" spans="1:8">
      <c r="A84" s="5" t="s">
        <v>731</v>
      </c>
      <c r="B84" s="5" t="s">
        <v>1036</v>
      </c>
      <c r="C84" s="5">
        <v>1</v>
      </c>
      <c r="D84" s="5" t="s">
        <v>930</v>
      </c>
      <c r="E84" s="5">
        <v>40</v>
      </c>
      <c r="F84" s="8">
        <v>52000</v>
      </c>
      <c r="G84" s="8">
        <v>2080000</v>
      </c>
      <c r="H84" s="8">
        <v>2910000</v>
      </c>
    </row>
    <row r="85" spans="1:8">
      <c r="A85" s="5" t="s">
        <v>731</v>
      </c>
      <c r="B85" s="5" t="s">
        <v>1036</v>
      </c>
      <c r="C85" s="5">
        <v>2</v>
      </c>
      <c r="D85" s="5" t="s">
        <v>931</v>
      </c>
      <c r="E85" s="5">
        <v>1</v>
      </c>
      <c r="F85" s="8">
        <v>830000</v>
      </c>
      <c r="G85" s="8">
        <v>830000</v>
      </c>
      <c r="H8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Contact</vt:lpstr>
      <vt:lpstr>Company</vt:lpstr>
      <vt:lpstr>Case</vt:lpstr>
      <vt:lpstr>Quotation</vt:lpstr>
      <vt:lpstr>Quotation Lines</vt:lpstr>
      <vt:lpstr>Contract</vt:lpstr>
      <vt:lpstr>Contract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Wong Ho Yin , Leo 王浩然</cp:lastModifiedBy>
  <dcterms:created xsi:type="dcterms:W3CDTF">2015-06-06T10:17:00Z</dcterms:created>
  <dcterms:modified xsi:type="dcterms:W3CDTF">2026-01-07T06:04:30Z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