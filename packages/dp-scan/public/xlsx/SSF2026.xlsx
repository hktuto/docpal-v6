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docpal_HKHS\packages\dp-scan\public\"/>
    </mc:Choice>
  </mc:AlternateContent>
  <xr:revisionPtr revIDLastSave="0" documentId="8_{DF831D0B-0C6F-4F60-9797-A52FCB14D311}" xr6:coauthVersionLast="47" xr6:coauthVersionMax="47" xr10:uidLastSave="{00000000-0000-0000-0000-000000000000}"/>
  <bookViews>
    <workbookView xWindow="1980" yWindow="525" windowWidth="30450" windowHeight="14310" activeTab="2" xr2:uid="{00000000-000D-0000-FFFF-FFFF00000000}"/>
  </bookViews>
  <sheets>
    <sheet name="Report Summary" sheetId="6" r:id="rId1"/>
    <sheet name="SCS-100" sheetId="1" r:id="rId2"/>
    <sheet name="SCS-101" sheetId="5" r:id="rId3"/>
    <sheet name="SCS-102" sheetId="3" r:id="rId4"/>
    <sheet name="SCS-103" sheetId="4" r:id="rId5"/>
  </sheets>
  <definedNames>
    <definedName name="_xlnm.Print_Titles" localSheetId="1">'SCS-100'!$1:$8</definedName>
    <definedName name="_xlnm.Print_Titles" localSheetId="2">'SCS-101'!$1:$8</definedName>
    <definedName name="_xlnm.Print_Titles" localSheetId="3">'SCS-102'!$2:$9</definedName>
    <definedName name="_xlnm.Print_Titles" localSheetId="4">'SCS-103'!$1:$7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5" l="1"/>
  <c r="K37" i="5"/>
  <c r="K33" i="5"/>
  <c r="K29" i="5"/>
  <c r="K25" i="5"/>
  <c r="K21" i="5"/>
  <c r="K17" i="5"/>
  <c r="L11" i="4"/>
  <c r="L12" i="4"/>
  <c r="L13" i="4"/>
  <c r="L14" i="4"/>
  <c r="L15" i="4"/>
  <c r="L16" i="4"/>
  <c r="L10" i="4"/>
  <c r="K13" i="5"/>
</calcChain>
</file>

<file path=xl/sharedStrings.xml><?xml version="1.0" encoding="utf-8"?>
<sst xmlns="http://schemas.openxmlformats.org/spreadsheetml/2006/main" count="468" uniqueCount="206">
  <si>
    <t/>
  </si>
  <si>
    <t>PAGE:  1
DATE:  13/05/2026</t>
    <phoneticPr fontId="6" type="noConversion"/>
  </si>
  <si>
    <r>
      <t xml:space="preserve">SUBSIDISED SALE FLATS PROJECTS 2026
Summary of Application Forms Processed
</t>
    </r>
    <r>
      <rPr>
        <b/>
        <sz val="12"/>
        <rFont val="Arial"/>
        <family val="2"/>
      </rPr>
      <t>From 03/04/2026 to 12/05/2026</t>
    </r>
  </si>
  <si>
    <t>Transaction Date</t>
  </si>
  <si>
    <t>2025-04-03</t>
  </si>
  <si>
    <t>2025-04-07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</si>
  <si>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</si>
  <si>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</si>
  <si>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</si>
  <si>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</si>
  <si>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</si>
  <si>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</si>
  <si>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</si>
  <si>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</si>
  <si>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</si>
  <si>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</si>
  <si>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</si>
  <si>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</si>
  <si>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2025-05-06</t>
  </si>
  <si>
    <t>2025-05-07</t>
  </si>
  <si>
    <t>2025-05-08</t>
  </si>
  <si>
    <t>2025-05-09</t>
  </si>
  <si>
    <t>2025-05-12</t>
  </si>
  <si>
    <t>Total</t>
  </si>
  <si>
    <t>*** END OF REPORT ***</t>
  </si>
  <si>
    <t>Report UI: (Show on Report as above)</t>
  </si>
  <si>
    <t xml:space="preserve">From: (can be null) Date Picker </t>
  </si>
  <si>
    <t xml:space="preserve">To: (can be null) Date Picker  </t>
  </si>
  <si>
    <t>Included: (can be null) Dropdown menu - "-", "Duplicated Records"</t>
  </si>
  <si>
    <t xml:space="preserve">Logic: </t>
  </si>
  <si>
    <t>PAGE:  1
DATE:  13/05/2026</t>
    <phoneticPr fontId="7" type="noConversion"/>
  </si>
  <si>
    <t>Batch No</t>
  </si>
  <si>
    <t>From Application Number</t>
  </si>
  <si>
    <t>To Application Number</t>
  </si>
  <si>
    <t>No of Application</t>
  </si>
  <si>
    <t>Form Type</t>
  </si>
  <si>
    <t>User Id</t>
  </si>
  <si>
    <t>Insert/
Replace</t>
  </si>
  <si>
    <t>Status</t>
  </si>
  <si>
    <t>Remark</t>
  </si>
  <si>
    <t>2026-04-22 14:49:35</t>
    <phoneticPr fontId="7" type="noConversion"/>
  </si>
  <si>
    <t>2025-04-25-17-42-200161</t>
  </si>
  <si>
    <t>301793</t>
  </si>
  <si>
    <t>W</t>
  </si>
  <si>
    <t>skchrXXX</t>
    <phoneticPr fontId="7" type="noConversion"/>
  </si>
  <si>
    <t>I</t>
  </si>
  <si>
    <t>Success</t>
  </si>
  <si>
    <t>Uploaded</t>
  </si>
  <si>
    <t>Processed</t>
  </si>
  <si>
    <t>Failed to Process</t>
  </si>
  <si>
    <t>Verified</t>
  </si>
  <si>
    <t>Failed to Export</t>
  </si>
  <si>
    <t>Export-Ready</t>
  </si>
  <si>
    <t>Completed</t>
  </si>
  <si>
    <t>Cancelled</t>
  </si>
  <si>
    <t>REPORT ID: SCS-102</t>
  </si>
  <si>
    <t>PAGE:  1</t>
  </si>
  <si>
    <t>COMPILED BY: HONG KONG HOUSING SOCIETY</t>
  </si>
  <si>
    <t>List of the applications verified</t>
  </si>
  <si>
    <t>Before</t>
  </si>
  <si>
    <t>After</t>
  </si>
  <si>
    <t>Modified by User</t>
  </si>
  <si>
    <t>Verified By</t>
  </si>
  <si>
    <t>Completed On</t>
  </si>
  <si>
    <t>2026-04-04-09-30-100001</t>
  </si>
  <si>
    <t>N</t>
  </si>
  <si>
    <t>userid</t>
  </si>
  <si>
    <t>2026-04-04-15-00-100002</t>
  </si>
  <si>
    <t>G</t>
  </si>
  <si>
    <t>Y</t>
  </si>
  <si>
    <t>Total number of application:</t>
  </si>
  <si>
    <t>DateTime</t>
  </si>
  <si>
    <t>Source</t>
  </si>
  <si>
    <t>User ID</t>
  </si>
  <si>
    <t>2026-05-13 10:27:23</t>
    <phoneticPr fontId="7" type="noConversion"/>
  </si>
  <si>
    <t>2026-05-08-09-22-200405</t>
    <phoneticPr fontId="7" type="noConversion"/>
  </si>
  <si>
    <t>305261</t>
  </si>
  <si>
    <t>305277</t>
  </si>
  <si>
    <t>HA</t>
  </si>
  <si>
    <t>System</t>
  </si>
  <si>
    <t>2026-05-08-09-22-200395</t>
    <phoneticPr fontId="7" type="noConversion"/>
  </si>
  <si>
    <t>2026-05-07-20-47-200378</t>
    <phoneticPr fontId="7" type="noConversion"/>
  </si>
  <si>
    <t>304961</t>
  </si>
  <si>
    <t>304980</t>
  </si>
  <si>
    <t>2026-05-07-20-44-200377</t>
    <phoneticPr fontId="7" type="noConversion"/>
  </si>
  <si>
    <t>304941</t>
  </si>
  <si>
    <t>304960</t>
  </si>
  <si>
    <t>HS</t>
    <phoneticPr fontId="7" type="noConversion"/>
  </si>
  <si>
    <t>2026-04-03-10-39-200001</t>
    <phoneticPr fontId="7" type="noConversion"/>
  </si>
  <si>
    <t>300083</t>
  </si>
  <si>
    <t>2026-04-03-08-52-150007</t>
    <phoneticPr fontId="7" type="noConversion"/>
  </si>
  <si>
    <t>300045</t>
  </si>
  <si>
    <t>300047</t>
  </si>
  <si>
    <t>2026-04-02-15-53-150002</t>
    <phoneticPr fontId="7" type="noConversion"/>
  </si>
  <si>
    <t>300044</t>
  </si>
  <si>
    <t>Summary</t>
  </si>
  <si>
    <t>2026-04-09-10-30-100003</t>
  </si>
  <si>
    <t>From 01/04/2026 to 14/04/2026</t>
  </si>
  <si>
    <t>Input From: 01/04/2026</t>
  </si>
  <si>
    <t>Input To: 14/04/2026</t>
  </si>
  <si>
    <t xml:space="preserve">      Count column total</t>
  </si>
  <si>
    <t xml:space="preserve">      If any Stage process &gt;0, display Transaction Date</t>
  </si>
  <si>
    <t>(1) Uploaded</t>
  </si>
  <si>
    <t>(5) Verified</t>
  </si>
  <si>
    <t>(6) Failed to Export</t>
  </si>
  <si>
    <t>(7) Export-Ready</t>
  </si>
  <si>
    <t>(8) Completed</t>
  </si>
  <si>
    <t xml:space="preserve">SUBSIDISED SALE FLATS PROJECTS 2026
</t>
  </si>
  <si>
    <t>DATE:  14/04/2026</t>
  </si>
  <si>
    <t>300004&amp;G&amp;Z1234567&amp;&amp;&amp;&amp;&amp;&amp;&amp;000000&amp;6</t>
  </si>
  <si>
    <t>Remark: &lt;Application no.&gt; / &lt;Error&gt; e.g. Missing HKID, Missing Application Image File/ Missing Address Image File</t>
  </si>
  <si>
    <t>SUBSIDISED SALE FLATS PROJECTS 2026
Daily Summary of the applications from Verified to Completed
From 03/04/2026 to 13/05/2026</t>
  </si>
  <si>
    <t>No. of Applications</t>
  </si>
  <si>
    <t xml:space="preserve">Report Logic: </t>
  </si>
  <si>
    <t>Fail</t>
  </si>
  <si>
    <t>Stage</t>
  </si>
  <si>
    <t>No. of Batches</t>
  </si>
  <si>
    <t>Summary: Count total for the requirement as above table stated</t>
  </si>
  <si>
    <t>SCS-100</t>
  </si>
  <si>
    <t>SCS-101</t>
  </si>
  <si>
    <t>SCS-102</t>
  </si>
  <si>
    <t>SCS-103</t>
  </si>
  <si>
    <t>Report ID</t>
  </si>
  <si>
    <t>Summary of Application Forms Processed</t>
  </si>
  <si>
    <t>Daily Summary of the applications from Verified to Completed</t>
  </si>
  <si>
    <t>Name of Report</t>
  </si>
  <si>
    <t>PDF</t>
  </si>
  <si>
    <t>MS excel</t>
  </si>
  <si>
    <t>Output format / type</t>
  </si>
  <si>
    <t>SSF2026 Report Summary for Scanning Solution</t>
  </si>
  <si>
    <t>(1)</t>
  </si>
  <si>
    <t>(2)</t>
  </si>
  <si>
    <t>(3)</t>
  </si>
  <si>
    <t>(4)</t>
  </si>
  <si>
    <t>(5)</t>
  </si>
  <si>
    <t>(6)</t>
  </si>
  <si>
    <t>(7)</t>
  </si>
  <si>
    <t>(8)</t>
  </si>
  <si>
    <t>No. of reports: 4</t>
  </si>
  <si>
    <t>Activity Log of Application Forms Processed</t>
  </si>
  <si>
    <t>SUBSIDISED SALE FLATS PROJECTS 2026
Activity Log of Application Forms Processed
From 02/04/2026 to 25/04/2026</t>
  </si>
  <si>
    <t>hkic1</t>
  </si>
  <si>
    <t>hkic2</t>
  </si>
  <si>
    <t>hkic3</t>
  </si>
  <si>
    <t>etc</t>
  </si>
  <si>
    <t>ApplicantHKID</t>
  </si>
  <si>
    <t>FamilyMemberHKID1</t>
  </si>
  <si>
    <t>FamilyMemberHKID2</t>
  </si>
  <si>
    <t>FamilyMemberHKID3</t>
  </si>
  <si>
    <t>added according to the number of HKIDs captured</t>
  </si>
  <si>
    <t>family class</t>
  </si>
  <si>
    <t>Abbreviation used in remark:</t>
  </si>
  <si>
    <r>
      <t>hkic</t>
    </r>
    <r>
      <rPr>
        <b/>
        <u/>
        <sz val="10"/>
        <color rgb="FFFF0000"/>
        <rFont val="Arial"/>
        <family val="2"/>
      </rPr>
      <t>x</t>
    </r>
  </si>
  <si>
    <t>only the value, e.g. 2 for &lt;2 - GF HA&gt;</t>
  </si>
  <si>
    <t>Application No.</t>
  </si>
  <si>
    <t>- Sort by Application no. in ascending order</t>
  </si>
  <si>
    <t>ahkid</t>
  </si>
  <si>
    <t>To display each processed batch for stage (5) - (8)</t>
  </si>
  <si>
    <t xml:space="preserve">      For each Transaction Date, count 1 for each processed application in each Stage for each occurrence on that date.</t>
  </si>
  <si>
    <t>(2) Total:</t>
  </si>
  <si>
    <t xml:space="preserve">(1) Transaction Date Counting rule: </t>
  </si>
  <si>
    <t>- To display "Verified" applications with specfic data fields (remark refers) before and after user verification</t>
  </si>
  <si>
    <t>General Terms used</t>
  </si>
  <si>
    <t>R</t>
  </si>
  <si>
    <t>Replace</t>
  </si>
  <si>
    <t>Insert</t>
  </si>
  <si>
    <t>White Form</t>
  </si>
  <si>
    <t>Green Form</t>
  </si>
  <si>
    <t>Import Type</t>
  </si>
  <si>
    <t>Description</t>
  </si>
  <si>
    <t>*can be learnt from Datamatrix code / Scanning Profile</t>
  </si>
  <si>
    <t>Form Type*</t>
  </si>
  <si>
    <t>Sort by pocessed DateTime in ascending order</t>
  </si>
  <si>
    <t xml:space="preserve">To display processed Batch for every stage. </t>
  </si>
  <si>
    <t>Sort by DateTime in ascending order</t>
  </si>
  <si>
    <t>Remark: &lt;Application no.&gt; / &lt;Error&gt; e.g. image error / Null HKID etc., separate by "," for mulitple records</t>
  </si>
  <si>
    <t>Stage: (can select multiple stages: 4 stages can be selected (5) - (8)</t>
  </si>
  <si>
    <t>N/A</t>
  </si>
  <si>
    <t>Project: (cannot be null) Dropdown menu - "SSF2026"</t>
  </si>
  <si>
    <t>(3) Processed</t>
  </si>
  <si>
    <t>(2) Failed to Process</t>
  </si>
  <si>
    <t>(4) Verified</t>
  </si>
  <si>
    <t>(5) Failed to Export</t>
  </si>
  <si>
    <t>(6) Export-Ready</t>
  </si>
  <si>
    <t>(7) Completed</t>
  </si>
  <si>
    <t>(8) Cancelled</t>
  </si>
  <si>
    <r>
      <t xml:space="preserve">REPORT ID: SCS-100
COMPILED BY: HONG KONG HOUSING SOCIETY
PROJECT: SSF2026
</t>
    </r>
    <r>
      <rPr>
        <sz val="10"/>
        <color rgb="FFFF0000"/>
        <rFont val="Arial"/>
        <family val="2"/>
      </rPr>
      <t>Input Project: SSF2026
Input From: NULL
Input To: NULL
Input Included: -</t>
    </r>
  </si>
  <si>
    <t xml:space="preserve">      e.g. Process 1 Application form sucessfully will have (Uploaded&gt;Failed to Process&gt;Processed&gt;Verified&gt;Failed to Export&gt;Export-Ready&gt;Completed&gt;Cancelled) 1&gt;0&gt;1&gt;1&gt;0&gt;1&gt;1&gt;0</t>
  </si>
  <si>
    <t>301556/ Export failed.</t>
  </si>
  <si>
    <t>300001&amp;W&amp;A1234563&amp;123456&amp;1</t>
  </si>
  <si>
    <t>300002&amp;W&amp;Y1234567&amp;Y9876543&amp;111111&amp;1E</t>
  </si>
  <si>
    <t>300003&amp;G&amp;P1234569&amp;Z9876549&amp;77777&amp;4</t>
  </si>
  <si>
    <t>300003&amp;G&amp;P1234567&amp;Z9876543&amp;&amp;2</t>
  </si>
  <si>
    <t>300016&amp;G&amp;^2643211&amp;111&amp;111&amp;O0839021&amp;456789&amp;2</t>
  </si>
  <si>
    <t>300017&amp;G&amp;Y4567890&amp;Y6543210&amp;222222&amp;2E</t>
  </si>
  <si>
    <t>300018&amp;G&amp;D5621350&amp;P6025831&amp;V1434381&amp;333333&amp;2</t>
  </si>
  <si>
    <t>300019&amp;G&amp;XD5678900&amp;P6543210&amp;V1231231&amp;444444&amp;2</t>
  </si>
  <si>
    <t>300016&amp;G&amp;Z643211&amp;111&amp;111&amp;D0839021&amp;456789&amp;2</t>
  </si>
  <si>
    <t>REPORT ID: SCS-101
COMPILED BY: HONG KONG HOUSING SOCIETY
PROJECT: SSF2026
Input Project: SSF2026
Input From: NULL
Input To: NULL</t>
  </si>
  <si>
    <t>301556/ Classification failed. , 301566/ Image Error.</t>
  </si>
  <si>
    <t>Input Project: SSF2026</t>
  </si>
  <si>
    <r>
      <t>Remark: Before/After data format - &lt;appln no&gt;&amp;&lt;form type&gt;&amp;</t>
    </r>
    <r>
      <rPr>
        <b/>
        <sz val="10"/>
        <color rgb="FFFF0000"/>
        <rFont val="Segoe UI"/>
        <family val="2"/>
      </rPr>
      <t>&lt;ahkid&gt;&amp;&lt;hkic1&gt;&amp;&lt;hkic2&gt;&amp;&lt;hkic3&gt;&amp;&lt;hkicx&gt;</t>
    </r>
    <r>
      <rPr>
        <b/>
        <sz val="10"/>
        <rFont val="Segoe UI"/>
        <family val="2"/>
      </rPr>
      <t>&amp;&lt;PaymentReference</t>
    </r>
    <r>
      <rPr>
        <b/>
        <sz val="10"/>
        <color rgb="FF000000"/>
        <rFont val="Segoe UI"/>
        <family val="2"/>
      </rPr>
      <t>&gt;&amp;</t>
    </r>
    <r>
      <rPr>
        <b/>
        <sz val="10"/>
        <color rgb="FFFF0000"/>
        <rFont val="Segoe UI"/>
        <family val="2"/>
      </rPr>
      <t>&lt;family class&gt;</t>
    </r>
  </si>
  <si>
    <r>
      <t xml:space="preserve">REPORT ID: SCS-103
COMPILED BY: HONG KONG HOUSING SOCIETY
PROJECT: SSF2026
</t>
    </r>
    <r>
      <rPr>
        <sz val="10"/>
        <color rgb="FFFF0000"/>
        <rFont val="Arial"/>
        <family val="2"/>
      </rPr>
      <t xml:space="preserve">Input Project: SSF2026
Input From: NULL
Input To: NULL
Stage: (5) Verified (6) Failed to Export (7) Export-Ready (8) Completed
</t>
    </r>
  </si>
  <si>
    <t>300044/ Crop image failed</t>
  </si>
  <si>
    <t>304980/ PDF generate failed</t>
  </si>
  <si>
    <t>304955/ XML generate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</si>
</sst>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\ hh:mm"/>
  </numFmts>
  <fonts count="38">
    <font>
      <sz val="11"/>
      <color rgb="FF000000"/>
      <name val="Calibri"/>
      <family val="2"/>
      <scheme val="minor"/>
    </font>
    <font>
      <sz val="11"/>
      <name val="新細明體"/>
      <family val="1"/>
      <charset val="136"/>
    </font>
    <font>
      <sz val="10"/>
      <name val="新細明體"/>
      <family val="1"/>
      <charset val="136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Calibri"/>
      <family val="3"/>
      <charset val="136"/>
      <scheme val="minor"/>
    </font>
    <font>
      <b/>
      <sz val="12"/>
      <color rgb="FF000000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b/>
      <u/>
      <sz val="10"/>
      <color rgb="FFFF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11"/>
      <color rgb="FFFF0000"/>
      <name val="新細明體"/>
      <family val="1"/>
      <charset val="136"/>
    </font>
    <font>
      <b/>
      <sz val="10"/>
      <color rgb="FFFF0000"/>
      <name val="Segoe UI"/>
      <family val="2"/>
    </font>
    <font>
      <b/>
      <u/>
      <sz val="10"/>
      <color rgb="FF000000"/>
      <name val="Segoe UI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rgb="FF2F00FF"/>
      <name val="新細明體"/>
      <family val="1"/>
      <charset val="136"/>
    </font>
    <font>
      <b/>
      <sz val="10"/>
      <color rgb="FF1C43D4"/>
      <name val="Arial"/>
      <family val="2"/>
    </font>
    <font>
      <b/>
      <sz val="10"/>
      <name val="Segoe UI"/>
      <family val="2"/>
    </font>
    <font>
      <sz val="12"/>
      <name val="Calibri"/>
      <family val="2"/>
    </font>
    <font>
      <b/>
      <sz val="12"/>
      <name val="新細明體"/>
      <family val="1"/>
      <charset val="136"/>
    </font>
    <font>
      <sz val="11"/>
      <name val="新細明體"/>
      <family val="2"/>
    </font>
    <font>
      <sz val="11"/>
      <color rgb="FF000000"/>
      <name val="新細明體"/>
      <family val="1"/>
      <charset val="136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88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8" fillId="0" borderId="0" xfId="0" applyFont="1" applyAlignment="1">
      <alignment vertical="top" readingOrder="1"/>
    </xf>
    <xf numFmtId="0" fontId="10" fillId="0" borderId="0" xfId="0" applyFont="1"/>
    <xf numFmtId="0" fontId="12" fillId="0" borderId="0" xfId="0" applyFont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0" fillId="0" borderId="0" xfId="0" applyFont="1" applyAlignment="1">
      <alignment horizontal="left"/>
    </xf>
    <xf numFmtId="0" fontId="15" fillId="0" borderId="0" xfId="0" applyFont="1" applyAlignment="1">
      <alignment vertical="top" readingOrder="1"/>
    </xf>
    <xf numFmtId="0" fontId="16" fillId="0" borderId="0" xfId="0" applyFont="1"/>
    <xf numFmtId="0" fontId="3" fillId="0" borderId="0" xfId="0" applyFont="1" applyAlignment="1">
      <alignment horizontal="left" vertical="top" wrapText="1" readingOrder="1"/>
    </xf>
    <xf numFmtId="0" fontId="17" fillId="2" borderId="0" xfId="0" applyFont="1" applyFill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8" fillId="0" borderId="0" xfId="0" applyFont="1" applyAlignment="1">
      <alignment vertical="top" wrapText="1" readingOrder="1"/>
    </xf>
    <xf numFmtId="0" fontId="19" fillId="0" borderId="0" xfId="0" applyFont="1"/>
    <xf numFmtId="0" fontId="21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11" fillId="0" borderId="0" xfId="0" applyFont="1" applyAlignment="1">
      <alignment vertical="top" readingOrder="1"/>
    </xf>
    <xf numFmtId="0" fontId="14" fillId="0" borderId="0" xfId="0" applyFont="1" applyAlignment="1">
      <alignment horizontal="left" vertical="top" wrapText="1" readingOrder="1"/>
    </xf>
    <xf numFmtId="0" fontId="13" fillId="0" borderId="0" xfId="0" applyFont="1" applyAlignment="1">
      <alignment horizontal="center" vertical="top" readingOrder="1"/>
    </xf>
    <xf numFmtId="0" fontId="1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22" fillId="0" borderId="0" xfId="0" applyFont="1" applyAlignment="1">
      <alignment vertical="top" readingOrder="1"/>
    </xf>
    <xf numFmtId="0" fontId="3" fillId="2" borderId="0" xfId="0" applyFont="1" applyFill="1" applyAlignment="1">
      <alignment horizontal="left" vertical="top" readingOrder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23" fillId="0" borderId="0" xfId="0" applyFont="1" applyAlignment="1">
      <alignment vertical="top" readingOrder="1"/>
    </xf>
    <xf numFmtId="0" fontId="4" fillId="0" borderId="0" xfId="0" applyFont="1" applyAlignment="1">
      <alignment vertical="top" wrapText="1" readingOrder="1"/>
    </xf>
    <xf numFmtId="0" fontId="24" fillId="0" borderId="0" xfId="0" applyFont="1"/>
    <xf numFmtId="0" fontId="25" fillId="0" borderId="0" xfId="0" applyFont="1" applyAlignment="1">
      <alignment vertical="top" readingOrder="1"/>
    </xf>
    <xf numFmtId="0" fontId="7" fillId="0" borderId="0" xfId="0" applyFont="1" applyAlignment="1">
      <alignment horizontal="center" readingOrder="1"/>
    </xf>
    <xf numFmtId="0" fontId="27" fillId="0" borderId="0" xfId="0" applyFont="1"/>
    <xf numFmtId="0" fontId="28" fillId="0" borderId="0" xfId="0" applyFont="1" applyAlignment="1">
      <alignment horizontal="center"/>
    </xf>
    <xf numFmtId="0" fontId="8" fillId="0" borderId="0" xfId="0" quotePrefix="1" applyFont="1" applyAlignment="1">
      <alignment vertical="top" readingOrder="1"/>
    </xf>
    <xf numFmtId="0" fontId="29" fillId="0" borderId="0" xfId="0" applyFont="1"/>
    <xf numFmtId="0" fontId="3" fillId="0" borderId="0" xfId="0" applyFont="1" applyAlignment="1">
      <alignment vertical="top" readingOrder="1"/>
    </xf>
    <xf numFmtId="0" fontId="1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 readingOrder="1"/>
    </xf>
    <xf numFmtId="0" fontId="32" fillId="0" borderId="0" xfId="0" applyFont="1"/>
    <xf numFmtId="0" fontId="33" fillId="0" borderId="0" xfId="0" applyFo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right" indent="1"/>
    </xf>
    <xf numFmtId="0" fontId="33" fillId="0" borderId="5" xfId="0" applyFont="1" applyBorder="1" applyAlignment="1">
      <alignment horizontal="right"/>
    </xf>
    <xf numFmtId="0" fontId="9" fillId="0" borderId="0" xfId="0" applyFont="1" applyAlignment="1">
      <alignment horizontal="center"/>
    </xf>
    <xf numFmtId="164" fontId="3" fillId="0" borderId="0" xfId="0" applyNumberFormat="1" applyFont="1" applyAlignment="1">
      <alignment horizontal="right" vertical="top" wrapText="1" readingOrder="1"/>
    </xf>
    <xf numFmtId="0" fontId="35" fillId="0" borderId="0" xfId="0" applyFont="1"/>
    <xf numFmtId="0" fontId="8" fillId="0" borderId="0" xfId="0" applyFont="1" applyAlignment="1">
      <alignment horizontal="left" vertical="top" indent="1" readingOrder="1"/>
    </xf>
    <xf numFmtId="0" fontId="33" fillId="0" borderId="5" xfId="0" applyFont="1" applyBorder="1" applyAlignment="1">
      <alignment horizontal="left"/>
    </xf>
    <xf numFmtId="0" fontId="33" fillId="0" borderId="6" xfId="0" applyFont="1" applyBorder="1" applyAlignment="1">
      <alignment horizontal="left"/>
    </xf>
    <xf numFmtId="0" fontId="32" fillId="0" borderId="6" xfId="0" applyFont="1" applyBorder="1"/>
    <xf numFmtId="0" fontId="36" fillId="0" borderId="0" xfId="0" applyFont="1" applyAlignment="1">
      <alignment horizontal="left" indent="1"/>
    </xf>
    <xf numFmtId="0" fontId="32" fillId="0" borderId="0" xfId="0" applyFont="1" applyAlignment="1">
      <alignment horizontal="right"/>
    </xf>
    <xf numFmtId="0" fontId="33" fillId="0" borderId="6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32" fillId="0" borderId="0" xfId="0" quotePrefix="1" applyFont="1" applyAlignment="1">
      <alignment horizontal="right" indent="1"/>
    </xf>
    <xf numFmtId="0" fontId="3" fillId="2" borderId="0" xfId="0" applyFont="1" applyFill="1" applyAlignment="1">
      <alignment horizontal="left" vertical="top" wrapText="1" readingOrder="1"/>
    </xf>
    <xf numFmtId="0" fontId="12" fillId="0" borderId="0" xfId="0" applyFont="1" applyAlignment="1">
      <alignment vertical="top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0" fillId="0" borderId="2" xfId="0" applyFont="1" applyBorder="1" applyAlignment="1">
      <alignment vertical="top" wrapText="1"/>
    </xf>
    <xf numFmtId="0" fontId="30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37" fillId="0" borderId="7" xfId="0" applyFont="1" applyBorder="1" applyAlignment="1">
      <alignment horizontal="center" vertical="top"/>
    </xf>
    <xf numFmtId="0" fontId="37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quotePrefix="1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3" fillId="2" borderId="0" xfId="0" applyFont="1" applyFill="1" applyAlignment="1">
      <alignment horizontal="left" vertical="top" wrapText="1" readingOrder="1"/>
    </xf>
    <xf numFmtId="0" fontId="16" fillId="0" borderId="0" xfId="0" applyFont="1"/>
    <xf numFmtId="0" fontId="17" fillId="0" borderId="0" xfId="0" quotePrefix="1" applyFont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7" fillId="0" borderId="0" xfId="0" applyFont="1" applyAlignment="1">
      <alignment horizontal="left" vertical="top" wrapText="1" readingOrder="1"/>
    </xf>
    <xf numFmtId="0" fontId="18" fillId="0" borderId="0" xfId="0" applyFont="1" applyAlignment="1">
      <alignment vertical="top" wrapText="1" readingOrder="1"/>
    </xf>
    <xf numFmtId="0" fontId="31" fillId="0" borderId="0" xfId="0" applyFont="1" applyAlignment="1">
      <alignment horizontal="center" vertical="top" wrapText="1" readingOrder="1"/>
    </xf>
    <xf numFmtId="0" fontId="29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/>
    </xf>
    <xf numFmtId="0" fontId="2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7B40-F39D-4D72-BB05-045371F44A69}">
  <dimension ref="A1:B38"/>
  <sheetViews>
    <sheetView workbookViewId="0">
      <selection activeCell="H29" sqref="H29"/>
    </sheetView>
  </sheetViews>
  <sheetFormatPr defaultRowHeight="14.25"/>
  <cols>
    <col min="1" max="1" width="12.28515625" style="41" customWidth="1"/>
    <col min="2" max="2" width="59.5703125" style="41" customWidth="1"/>
    <col min="3" max="16384" width="9.140625" style="41"/>
  </cols>
  <sheetData>
    <row r="1" spans="1:2" ht="15">
      <c r="A1" s="42" t="s">
        <v>129</v>
      </c>
    </row>
    <row r="3" spans="1:2" ht="15">
      <c r="A3" s="42" t="s">
        <v>138</v>
      </c>
      <c r="B3" s="43"/>
    </row>
    <row r="5" spans="1:2" ht="15.75" thickBot="1">
      <c r="A5" s="55" t="s">
        <v>122</v>
      </c>
      <c r="B5" s="51" t="s">
        <v>125</v>
      </c>
    </row>
    <row r="6" spans="1:2">
      <c r="A6" s="54" t="s">
        <v>118</v>
      </c>
      <c r="B6" s="41" t="s">
        <v>123</v>
      </c>
    </row>
    <row r="7" spans="1:2">
      <c r="A7" s="54" t="s">
        <v>119</v>
      </c>
      <c r="B7" s="41" t="s">
        <v>139</v>
      </c>
    </row>
    <row r="8" spans="1:2">
      <c r="A8" s="54" t="s">
        <v>120</v>
      </c>
      <c r="B8" s="41" t="s">
        <v>58</v>
      </c>
    </row>
    <row r="9" spans="1:2">
      <c r="A9" s="54" t="s">
        <v>121</v>
      </c>
      <c r="B9" s="41" t="s">
        <v>124</v>
      </c>
    </row>
    <row r="12" spans="1:2" ht="15.75" thickBot="1">
      <c r="A12" s="51" t="s">
        <v>128</v>
      </c>
      <c r="B12" s="52"/>
    </row>
    <row r="13" spans="1:2">
      <c r="A13" s="44" t="s">
        <v>130</v>
      </c>
      <c r="B13" s="41" t="s">
        <v>126</v>
      </c>
    </row>
    <row r="14" spans="1:2">
      <c r="A14" s="44" t="s">
        <v>131</v>
      </c>
      <c r="B14" s="41" t="s">
        <v>127</v>
      </c>
    </row>
    <row r="17" spans="1:2" ht="15.75" thickBot="1">
      <c r="A17" s="51" t="s">
        <v>162</v>
      </c>
      <c r="B17" s="52"/>
    </row>
    <row r="19" spans="1:2" ht="15">
      <c r="A19" s="45" t="s">
        <v>115</v>
      </c>
      <c r="B19" s="50" t="s">
        <v>169</v>
      </c>
    </row>
    <row r="20" spans="1:2">
      <c r="A20" s="44" t="s">
        <v>130</v>
      </c>
      <c r="B20" s="41" t="s">
        <v>47</v>
      </c>
    </row>
    <row r="21" spans="1:2">
      <c r="A21" s="44" t="s">
        <v>131</v>
      </c>
      <c r="B21" s="41" t="s">
        <v>49</v>
      </c>
    </row>
    <row r="22" spans="1:2" ht="14.25" customHeight="1">
      <c r="A22" s="44" t="s">
        <v>132</v>
      </c>
      <c r="B22" s="41" t="s">
        <v>48</v>
      </c>
    </row>
    <row r="23" spans="1:2" ht="14.25" customHeight="1">
      <c r="A23" s="57" t="s">
        <v>133</v>
      </c>
      <c r="B23" s="41" t="s">
        <v>50</v>
      </c>
    </row>
    <row r="24" spans="1:2" ht="14.25" customHeight="1">
      <c r="A24" s="57" t="s">
        <v>134</v>
      </c>
      <c r="B24" s="41" t="s">
        <v>51</v>
      </c>
    </row>
    <row r="25" spans="1:2" ht="14.25" customHeight="1">
      <c r="A25" s="57" t="s">
        <v>135</v>
      </c>
      <c r="B25" s="41" t="s">
        <v>52</v>
      </c>
    </row>
    <row r="26" spans="1:2" ht="14.25" customHeight="1">
      <c r="A26" s="57" t="s">
        <v>136</v>
      </c>
      <c r="B26" s="41" t="s">
        <v>53</v>
      </c>
    </row>
    <row r="27" spans="1:2" ht="14.25" customHeight="1">
      <c r="A27" s="57" t="s">
        <v>137</v>
      </c>
      <c r="B27" s="41" t="s">
        <v>54</v>
      </c>
    </row>
    <row r="28" spans="1:2" ht="15.75">
      <c r="A28" s="22"/>
    </row>
    <row r="29" spans="1:2" ht="14.25" customHeight="1">
      <c r="A29" s="50" t="s">
        <v>168</v>
      </c>
      <c r="B29" s="45"/>
    </row>
    <row r="30" spans="1:2" ht="14.25" customHeight="1">
      <c r="A30" s="44" t="s">
        <v>45</v>
      </c>
      <c r="B30" s="41" t="s">
        <v>165</v>
      </c>
    </row>
    <row r="31" spans="1:2">
      <c r="A31" s="44" t="s">
        <v>163</v>
      </c>
      <c r="B31" s="41" t="s">
        <v>164</v>
      </c>
    </row>
    <row r="32" spans="1:2" ht="14.25" customHeight="1"/>
    <row r="33" spans="1:2" ht="14.25" customHeight="1">
      <c r="A33" s="45" t="s">
        <v>171</v>
      </c>
      <c r="B33" s="45"/>
    </row>
    <row r="34" spans="1:2" ht="14.25" customHeight="1">
      <c r="A34" s="44" t="s">
        <v>43</v>
      </c>
      <c r="B34" s="41" t="s">
        <v>166</v>
      </c>
    </row>
    <row r="35" spans="1:2" ht="14.25" customHeight="1">
      <c r="A35" s="44" t="s">
        <v>68</v>
      </c>
      <c r="B35" s="41" t="s">
        <v>167</v>
      </c>
    </row>
    <row r="36" spans="1:2" ht="14.25" customHeight="1">
      <c r="A36" s="53" t="s">
        <v>170</v>
      </c>
    </row>
    <row r="37" spans="1:2" ht="14.25" customHeight="1"/>
    <row r="38" spans="1:2" ht="14.2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5"/>
  <sheetViews>
    <sheetView showGridLines="0" zoomScaleNormal="100" workbookViewId="0">
      <pane ySplit="8" topLeftCell="A9" activePane="bottomLeft" state="frozen"/>
      <selection pane="bottomLeft" activeCell="F5" sqref="F5:Q6"/>
    </sheetView>
  </sheetViews>
  <sheetFormatPr defaultRowHeight="15.75"/>
  <cols>
    <col min="1" max="1" width="2" customWidth="1"/>
    <col min="2" max="2" width="22.85546875" customWidth="1"/>
    <col min="3" max="3" width="24.7109375" customWidth="1"/>
    <col min="4" max="4" width="1.7109375" customWidth="1"/>
    <col min="5" max="5" width="2.5703125" customWidth="1"/>
    <col min="6" max="6" width="13.7109375" customWidth="1"/>
    <col min="7" max="7" width="6.85546875" customWidth="1"/>
    <col min="8" max="8" width="16.5703125" customWidth="1"/>
    <col min="9" max="9" width="8.140625" customWidth="1"/>
    <col min="10" max="10" width="7" customWidth="1"/>
    <col min="11" max="11" width="17.7109375" customWidth="1"/>
    <col min="12" max="12" width="1.5703125" customWidth="1"/>
    <col min="13" max="13" width="7" customWidth="1"/>
    <col min="14" max="14" width="17.7109375" customWidth="1"/>
    <col min="15" max="15" width="1.5703125" customWidth="1"/>
    <col min="16" max="16" width="7" customWidth="1"/>
    <col min="17" max="17" width="17.7109375" customWidth="1"/>
    <col min="18" max="18" width="1.5703125" customWidth="1"/>
    <col min="19" max="19" width="7" customWidth="1"/>
    <col min="20" max="20" width="17.7109375" customWidth="1"/>
    <col min="21" max="21" width="1.5703125" customWidth="1"/>
    <col min="22" max="22" width="7" customWidth="1"/>
    <col min="23" max="23" width="17.7109375" customWidth="1"/>
    <col min="24" max="24" width="1.5703125" customWidth="1"/>
    <col min="25" max="25" width="6.42578125" customWidth="1"/>
  </cols>
  <sheetData>
    <row r="1" spans="2:24" ht="4.7" customHeight="1"/>
    <row r="2" spans="2:24">
      <c r="F2" s="60" t="s">
        <v>0</v>
      </c>
      <c r="G2" s="61"/>
      <c r="H2" s="61"/>
      <c r="I2" s="61"/>
    </row>
    <row r="3" spans="2:24">
      <c r="B3" s="62" t="s">
        <v>186</v>
      </c>
      <c r="C3" s="61"/>
      <c r="D3" s="61"/>
      <c r="F3" s="61"/>
      <c r="G3" s="61"/>
      <c r="H3" s="61"/>
      <c r="I3" s="61"/>
      <c r="K3" s="18"/>
      <c r="N3" s="18"/>
      <c r="Q3" s="18"/>
      <c r="T3" s="18"/>
      <c r="W3" s="73" t="s">
        <v>1</v>
      </c>
    </row>
    <row r="4" spans="2:24">
      <c r="B4" s="61"/>
      <c r="C4" s="61"/>
      <c r="D4" s="61"/>
      <c r="W4" s="61"/>
    </row>
    <row r="5" spans="2:24" ht="15.75" customHeight="1">
      <c r="B5" s="61"/>
      <c r="C5" s="61"/>
      <c r="D5" s="61"/>
      <c r="F5" s="72" t="s">
        <v>2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W5" s="61"/>
    </row>
    <row r="6" spans="2:24" ht="39" customHeight="1">
      <c r="B6" s="61"/>
      <c r="C6" s="61"/>
      <c r="D6" s="61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2:24">
      <c r="B7" s="61"/>
      <c r="C7" s="61"/>
      <c r="D7" s="61"/>
    </row>
    <row r="8" spans="2:24" ht="19.5" customHeight="1"/>
    <row r="9" spans="2:24">
      <c r="B9" s="1" t="s">
        <v>3</v>
      </c>
      <c r="C9" s="24" t="s">
        <v>102</v>
      </c>
      <c r="D9" s="63" t="s">
        <v>180</v>
      </c>
      <c r="E9" s="64"/>
      <c r="F9" s="64"/>
      <c r="G9" s="65"/>
      <c r="H9" s="69" t="s">
        <v>179</v>
      </c>
      <c r="I9" s="70"/>
      <c r="J9" s="63" t="s">
        <v>181</v>
      </c>
      <c r="K9" s="66"/>
      <c r="L9" s="67"/>
      <c r="M9" s="63" t="s">
        <v>182</v>
      </c>
      <c r="N9" s="66"/>
      <c r="O9" s="67"/>
      <c r="P9" s="63" t="s">
        <v>183</v>
      </c>
      <c r="Q9" s="66"/>
      <c r="R9" s="67"/>
      <c r="S9" s="63" t="s">
        <v>184</v>
      </c>
      <c r="T9" s="66"/>
      <c r="U9" s="67"/>
      <c r="V9" s="63" t="s">
        <v>185</v>
      </c>
      <c r="W9" s="64"/>
      <c r="X9" s="65"/>
    </row>
    <row r="10" spans="2:24">
      <c r="B10" s="2" t="s">
        <v>4</v>
      </c>
      <c r="C10" s="3">
        <v>12</v>
      </c>
      <c r="D10" s="68">
        <v>0</v>
      </c>
      <c r="E10" s="64"/>
      <c r="F10" s="64"/>
      <c r="G10" s="65"/>
      <c r="H10" s="68">
        <v>13</v>
      </c>
      <c r="I10" s="65"/>
      <c r="J10" s="68">
        <v>0</v>
      </c>
      <c r="K10" s="64"/>
      <c r="L10" s="65"/>
      <c r="M10" s="68">
        <v>0</v>
      </c>
      <c r="N10" s="64"/>
      <c r="O10" s="65"/>
      <c r="P10" s="68">
        <v>0</v>
      </c>
      <c r="Q10" s="64"/>
      <c r="R10" s="65"/>
      <c r="S10" s="68">
        <v>0</v>
      </c>
      <c r="T10" s="64"/>
      <c r="U10" s="65"/>
      <c r="V10" s="68">
        <v>0</v>
      </c>
      <c r="W10" s="64"/>
      <c r="X10" s="65"/>
    </row>
    <row r="11" spans="2:24">
      <c r="B11" s="2" t="s">
        <v>5</v>
      </c>
      <c r="C11" s="3">
        <v>47</v>
      </c>
      <c r="D11" s="68">
        <v>1</v>
      </c>
      <c r="E11" s="64"/>
      <c r="F11" s="64"/>
      <c r="G11" s="65"/>
      <c r="H11" s="68">
        <v>25</v>
      </c>
      <c r="I11" s="65"/>
      <c r="J11" s="68">
        <v>0</v>
      </c>
      <c r="K11" s="64"/>
      <c r="L11" s="65"/>
      <c r="M11" s="68">
        <v>0</v>
      </c>
      <c r="N11" s="64"/>
      <c r="O11" s="65"/>
      <c r="P11" s="68">
        <v>0</v>
      </c>
      <c r="Q11" s="64"/>
      <c r="R11" s="65"/>
      <c r="S11" s="68">
        <v>0</v>
      </c>
      <c r="T11" s="64"/>
      <c r="U11" s="65"/>
      <c r="V11" s="68">
        <v>0</v>
      </c>
      <c r="W11" s="64"/>
      <c r="X11" s="65"/>
    </row>
    <row r="12" spans="2:24">
      <c r="B12" s="2" t="s">
        <v>6</v>
      </c>
      <c r="C12" s="3">
        <v>45</v>
      </c>
      <c r="D12" s="68">
        <v>4</v>
      </c>
      <c r="E12" s="64"/>
      <c r="F12" s="64"/>
      <c r="G12" s="65"/>
      <c r="H12" s="68">
        <v>52</v>
      </c>
      <c r="I12" s="65"/>
      <c r="J12" s="68">
        <v>0</v>
      </c>
      <c r="K12" s="64"/>
      <c r="L12" s="65"/>
      <c r="M12" s="68">
        <v>0</v>
      </c>
      <c r="N12" s="64"/>
      <c r="O12" s="65"/>
      <c r="P12" s="68">
        <v>0</v>
      </c>
      <c r="Q12" s="64"/>
      <c r="R12" s="65"/>
      <c r="S12" s="68">
        <v>0</v>
      </c>
      <c r="T12" s="64"/>
      <c r="U12" s="65"/>
      <c r="V12" s="68">
        <v>0</v>
      </c>
      <c r="W12" s="64"/>
      <c r="X12" s="65"/>
    </row>
    <row r="13" spans="2:24">
      <c r="B13" s="2" t="s">
        <v>7</v>
      </c>
      <c r="C13" s="3">
        <v>44</v>
      </c>
      <c r="D13" s="68">
        <v>0</v>
      </c>
      <c r="E13" s="64"/>
      <c r="F13" s="64"/>
      <c r="G13" s="65"/>
      <c r="H13" s="68">
        <v>44</v>
      </c>
      <c r="I13" s="65"/>
      <c r="J13" s="68">
        <v>0</v>
      </c>
      <c r="K13" s="64"/>
      <c r="L13" s="65"/>
      <c r="M13" s="68">
        <v>0</v>
      </c>
      <c r="N13" s="64"/>
      <c r="O13" s="65"/>
      <c r="P13" s="68">
        <v>0</v>
      </c>
      <c r="Q13" s="64"/>
      <c r="R13" s="65"/>
      <c r="S13" s="68">
        <v>0</v>
      </c>
      <c r="T13" s="64"/>
      <c r="U13" s="65"/>
      <c r="V13" s="68">
        <v>0</v>
      </c>
      <c r="W13" s="64"/>
      <c r="X13" s="65"/>
    </row>
    <row r="14" spans="2:24">
      <c r="B14" s="2" t="s">
        <v>8</v>
      </c>
      <c r="C14" s="3">
        <v>88</v>
      </c>
      <c r="D14" s="68">
        <v>1</v>
      </c>
      <c r="E14" s="64"/>
      <c r="F14" s="64"/>
      <c r="G14" s="65"/>
      <c r="H14" s="68">
        <v>52</v>
      </c>
      <c r="I14" s="65"/>
      <c r="J14" s="68">
        <v>0</v>
      </c>
      <c r="K14" s="64"/>
      <c r="L14" s="65"/>
      <c r="M14" s="68">
        <v>0</v>
      </c>
      <c r="N14" s="64"/>
      <c r="O14" s="65"/>
      <c r="P14" s="68">
        <v>0</v>
      </c>
      <c r="Q14" s="64"/>
      <c r="R14" s="65"/>
      <c r="S14" s="68">
        <v>0</v>
      </c>
      <c r="T14" s="64"/>
      <c r="U14" s="65"/>
      <c r="V14" s="68">
        <v>0</v>
      </c>
      <c r="W14" s="64"/>
      <c r="X14" s="65"/>
    </row>
    <row r="15" spans="2:24">
      <c r="B15" s="2" t="s">
        <v>9</v>
      </c>
      <c r="C15" s="3">
        <v>39</v>
      </c>
      <c r="D15" s="68">
        <v>2</v>
      </c>
      <c r="E15" s="64"/>
      <c r="F15" s="64"/>
      <c r="G15" s="65"/>
      <c r="H15" s="68">
        <v>39</v>
      </c>
      <c r="I15" s="65"/>
      <c r="J15" s="68">
        <v>0</v>
      </c>
      <c r="K15" s="64"/>
      <c r="L15" s="65"/>
      <c r="M15" s="68">
        <v>0</v>
      </c>
      <c r="N15" s="64"/>
      <c r="O15" s="65"/>
      <c r="P15" s="68">
        <v>0</v>
      </c>
      <c r="Q15" s="64"/>
      <c r="R15" s="65"/>
      <c r="S15" s="68">
        <v>0</v>
      </c>
      <c r="T15" s="64"/>
      <c r="U15" s="65"/>
      <c r="V15" s="68">
        <v>0</v>
      </c>
      <c r="W15" s="64"/>
      <c r="X15" s="65"/>
    </row>
    <row r="16" spans="2:24">
      <c r="B16" s="2" t="s">
        <v>10</v>
      </c>
      <c r="C16" s="3">
        <v>29</v>
      </c>
      <c r="D16" s="68">
        <v>1</v>
      </c>
      <c r="E16" s="64"/>
      <c r="F16" s="64"/>
      <c r="G16" s="65"/>
      <c r="H16" s="68">
        <v>70</v>
      </c>
      <c r="I16" s="65"/>
      <c r="J16" s="68">
        <v>0</v>
      </c>
      <c r="K16" s="64"/>
      <c r="L16" s="65"/>
      <c r="M16" s="68">
        <v>0</v>
      </c>
      <c r="N16" s="64"/>
      <c r="O16" s="65"/>
      <c r="P16" s="68">
        <v>0</v>
      </c>
      <c r="Q16" s="64"/>
      <c r="R16" s="65"/>
      <c r="S16" s="68">
        <v>0</v>
      </c>
      <c r="T16" s="64"/>
      <c r="U16" s="65"/>
      <c r="V16" s="68">
        <v>0</v>
      </c>
      <c r="W16" s="64"/>
      <c r="X16" s="65"/>
    </row>
    <row r="17" spans="2:24">
      <c r="B17" s="2" t="s">
        <v>11</v>
      </c>
      <c r="C17" s="3">
        <v>55</v>
      </c>
      <c r="D17" s="68">
        <v>0</v>
      </c>
      <c r="E17" s="64"/>
      <c r="F17" s="64"/>
      <c r="G17" s="65"/>
      <c r="H17" s="68">
        <v>45</v>
      </c>
      <c r="I17" s="65"/>
      <c r="J17" s="68">
        <v>0</v>
      </c>
      <c r="K17" s="64"/>
      <c r="L17" s="65"/>
      <c r="M17" s="68">
        <v>0</v>
      </c>
      <c r="N17" s="64"/>
      <c r="O17" s="65"/>
      <c r="P17" s="68">
        <v>0</v>
      </c>
      <c r="Q17" s="64"/>
      <c r="R17" s="65"/>
      <c r="S17" s="68">
        <v>0</v>
      </c>
      <c r="T17" s="64"/>
      <c r="U17" s="65"/>
      <c r="V17" s="68">
        <v>0</v>
      </c>
      <c r="W17" s="64"/>
      <c r="X17" s="65"/>
    </row>
    <row r="18" spans="2:24">
      <c r="B18" s="2" t="s">
        <v>12</v>
      </c>
      <c r="C18" s="3">
        <v>113</v>
      </c>
      <c r="D18" s="68">
        <v>1</v>
      </c>
      <c r="E18" s="64"/>
      <c r="F18" s="64"/>
      <c r="G18" s="65"/>
      <c r="H18" s="68">
        <v>18</v>
      </c>
      <c r="I18" s="65"/>
      <c r="J18" s="68">
        <v>0</v>
      </c>
      <c r="K18" s="64"/>
      <c r="L18" s="65"/>
      <c r="M18" s="68">
        <v>0</v>
      </c>
      <c r="N18" s="64"/>
      <c r="O18" s="65"/>
      <c r="P18" s="68">
        <v>0</v>
      </c>
      <c r="Q18" s="64"/>
      <c r="R18" s="65"/>
      <c r="S18" s="68">
        <v>0</v>
      </c>
      <c r="T18" s="64"/>
      <c r="U18" s="65"/>
      <c r="V18" s="68">
        <v>0</v>
      </c>
      <c r="W18" s="64"/>
      <c r="X18" s="65"/>
    </row>
    <row r="19" spans="2:24">
      <c r="B19" s="2" t="s">
        <v>13</v>
      </c>
      <c r="C19" s="3">
        <v>2</v>
      </c>
      <c r="D19" s="68">
        <v>0</v>
      </c>
      <c r="E19" s="64"/>
      <c r="F19" s="64"/>
      <c r="G19" s="65"/>
      <c r="H19" s="68">
        <v>100</v>
      </c>
      <c r="I19" s="65"/>
      <c r="J19" s="68">
        <v>0</v>
      </c>
      <c r="K19" s="64"/>
      <c r="L19" s="65"/>
      <c r="M19" s="68">
        <v>0</v>
      </c>
      <c r="N19" s="64"/>
      <c r="O19" s="65"/>
      <c r="P19" s="68">
        <v>0</v>
      </c>
      <c r="Q19" s="64"/>
      <c r="R19" s="65"/>
      <c r="S19" s="68">
        <v>0</v>
      </c>
      <c r="T19" s="64"/>
      <c r="U19" s="65"/>
      <c r="V19" s="68">
        <v>0</v>
      </c>
      <c r="W19" s="64"/>
      <c r="X19" s="65"/>
    </row>
    <row r="20" spans="2:24">
      <c r="B20" s="2" t="s">
        <v>14</v>
      </c>
      <c r="C20" s="3">
        <v>197</v>
      </c>
      <c r="D20" s="68">
        <v>2</v>
      </c>
      <c r="E20" s="64"/>
      <c r="F20" s="64"/>
      <c r="G20" s="65"/>
      <c r="H20" s="68">
        <v>10</v>
      </c>
      <c r="I20" s="65"/>
      <c r="J20" s="68">
        <v>0</v>
      </c>
      <c r="K20" s="64"/>
      <c r="L20" s="65"/>
      <c r="M20" s="68">
        <v>0</v>
      </c>
      <c r="N20" s="64"/>
      <c r="O20" s="65"/>
      <c r="P20" s="68">
        <v>0</v>
      </c>
      <c r="Q20" s="64"/>
      <c r="R20" s="65"/>
      <c r="S20" s="68">
        <v>0</v>
      </c>
      <c r="T20" s="64"/>
      <c r="U20" s="65"/>
      <c r="V20" s="68">
        <v>0</v>
      </c>
      <c r="W20" s="64"/>
      <c r="X20" s="65"/>
    </row>
    <row r="21" spans="2:24">
      <c r="B21" s="2" t="s">
        <v>15</v>
      </c>
      <c r="C21" s="3">
        <v>47</v>
      </c>
      <c r="D21" s="68">
        <v>0</v>
      </c>
      <c r="E21" s="64"/>
      <c r="F21" s="64"/>
      <c r="G21" s="65"/>
      <c r="H21" s="68">
        <v>228</v>
      </c>
      <c r="I21" s="65"/>
      <c r="J21" s="68">
        <v>0</v>
      </c>
      <c r="K21" s="64"/>
      <c r="L21" s="65"/>
      <c r="M21" s="68">
        <v>0</v>
      </c>
      <c r="N21" s="64"/>
      <c r="O21" s="65"/>
      <c r="P21" s="68">
        <v>0</v>
      </c>
      <c r="Q21" s="64"/>
      <c r="R21" s="65"/>
      <c r="S21" s="68">
        <v>0</v>
      </c>
      <c r="T21" s="64"/>
      <c r="U21" s="65"/>
      <c r="V21" s="68">
        <v>0</v>
      </c>
      <c r="W21" s="64"/>
      <c r="X21" s="65"/>
    </row>
    <row r="22" spans="2:24">
      <c r="B22" s="2" t="s">
        <v>16</v>
      </c>
      <c r="C22" s="3">
        <v>286</v>
      </c>
      <c r="D22" s="68">
        <v>0</v>
      </c>
      <c r="E22" s="64"/>
      <c r="F22" s="64"/>
      <c r="G22" s="65"/>
      <c r="H22" s="68">
        <v>0</v>
      </c>
      <c r="I22" s="65"/>
      <c r="J22" s="68">
        <v>0</v>
      </c>
      <c r="K22" s="64"/>
      <c r="L22" s="65"/>
      <c r="M22" s="68">
        <v>0</v>
      </c>
      <c r="N22" s="64"/>
      <c r="O22" s="65"/>
      <c r="P22" s="68">
        <v>0</v>
      </c>
      <c r="Q22" s="64"/>
      <c r="R22" s="65"/>
      <c r="S22" s="68">
        <v>0</v>
      </c>
      <c r="T22" s="64"/>
      <c r="U22" s="65"/>
      <c r="V22" s="68">
        <v>0</v>
      </c>
      <c r="W22" s="64"/>
      <c r="X22" s="65"/>
    </row>
    <row r="23" spans="2:24">
      <c r="B23" s="2" t="s">
        <v>17</v>
      </c>
      <c r="C23" s="3">
        <v>283</v>
      </c>
      <c r="D23" s="68">
        <v>7</v>
      </c>
      <c r="E23" s="64"/>
      <c r="F23" s="64"/>
      <c r="G23" s="65"/>
      <c r="H23" s="68">
        <v>177</v>
      </c>
      <c r="I23" s="65"/>
      <c r="J23" s="68">
        <v>0</v>
      </c>
      <c r="K23" s="64"/>
      <c r="L23" s="65"/>
      <c r="M23" s="68">
        <v>0</v>
      </c>
      <c r="N23" s="64"/>
      <c r="O23" s="65"/>
      <c r="P23" s="68">
        <v>0</v>
      </c>
      <c r="Q23" s="64"/>
      <c r="R23" s="65"/>
      <c r="S23" s="68">
        <v>0</v>
      </c>
      <c r="T23" s="64"/>
      <c r="U23" s="65"/>
      <c r="V23" s="68">
        <v>0</v>
      </c>
      <c r="W23" s="64"/>
      <c r="X23" s="65"/>
    </row>
    <row r="24" spans="2:24">
      <c r="B24" s="2" t="s">
        <v>18</v>
      </c>
      <c r="C24" s="3">
        <v>1066</v>
      </c>
      <c r="D24" s="68">
        <v>20</v>
      </c>
      <c r="E24" s="64"/>
      <c r="F24" s="64"/>
      <c r="G24" s="65"/>
      <c r="H24" s="68">
        <v>389</v>
      </c>
      <c r="I24" s="65"/>
      <c r="J24" s="68">
        <v>0</v>
      </c>
      <c r="K24" s="64"/>
      <c r="L24" s="65"/>
      <c r="M24" s="68">
        <v>0</v>
      </c>
      <c r="N24" s="64"/>
      <c r="O24" s="65"/>
      <c r="P24" s="68">
        <v>0</v>
      </c>
      <c r="Q24" s="64"/>
      <c r="R24" s="65"/>
      <c r="S24" s="68">
        <v>0</v>
      </c>
      <c r="T24" s="64"/>
      <c r="U24" s="65"/>
      <c r="V24" s="68">
        <v>0</v>
      </c>
      <c r="W24" s="64"/>
      <c r="X24" s="65"/>
    </row>
    <row r="25" spans="2:24">
      <c r="B25" s="2" t="s">
        <v>19</v>
      </c>
      <c r="C25" s="3">
        <v>1653</v>
      </c>
      <c r="D25" s="68">
        <v>28</v>
      </c>
      <c r="E25" s="64"/>
      <c r="F25" s="64"/>
      <c r="G25" s="65"/>
      <c r="H25" s="68">
        <v>500</v>
      </c>
      <c r="I25" s="65"/>
      <c r="J25" s="68">
        <v>0</v>
      </c>
      <c r="K25" s="64"/>
      <c r="L25" s="65"/>
      <c r="M25" s="68">
        <v>0</v>
      </c>
      <c r="N25" s="64"/>
      <c r="O25" s="65"/>
      <c r="P25" s="68">
        <v>0</v>
      </c>
      <c r="Q25" s="64"/>
      <c r="R25" s="65"/>
      <c r="S25" s="68">
        <v>0</v>
      </c>
      <c r="T25" s="64"/>
      <c r="U25" s="65"/>
      <c r="V25" s="68">
        <v>0</v>
      </c>
      <c r="W25" s="64"/>
      <c r="X25" s="65"/>
    </row>
    <row r="26" spans="2:24">
      <c r="B26" s="2" t="s">
        <v>20</v>
      </c>
      <c r="C26" s="3">
        <v>122</v>
      </c>
      <c r="D26" s="68">
        <v>1</v>
      </c>
      <c r="E26" s="64"/>
      <c r="F26" s="64"/>
      <c r="G26" s="65"/>
      <c r="H26" s="68">
        <v>801</v>
      </c>
      <c r="I26" s="65"/>
      <c r="J26" s="68">
        <v>0</v>
      </c>
      <c r="K26" s="64"/>
      <c r="L26" s="65"/>
      <c r="M26" s="68">
        <v>0</v>
      </c>
      <c r="N26" s="64"/>
      <c r="O26" s="65"/>
      <c r="P26" s="68">
        <v>0</v>
      </c>
      <c r="Q26" s="64"/>
      <c r="R26" s="65"/>
      <c r="S26" s="68">
        <v>0</v>
      </c>
      <c r="T26" s="64"/>
      <c r="U26" s="65"/>
      <c r="V26" s="68">
        <v>0</v>
      </c>
      <c r="W26" s="64"/>
      <c r="X26" s="65"/>
    </row>
    <row r="27" spans="2:24">
      <c r="B27" s="2" t="s">
        <v>21</v>
      </c>
      <c r="C27" s="3">
        <v>20</v>
      </c>
      <c r="D27" s="68">
        <v>0</v>
      </c>
      <c r="E27" s="64"/>
      <c r="F27" s="64"/>
      <c r="G27" s="65"/>
      <c r="H27" s="68">
        <v>465</v>
      </c>
      <c r="I27" s="65"/>
      <c r="J27" s="68">
        <v>0</v>
      </c>
      <c r="K27" s="64"/>
      <c r="L27" s="65"/>
      <c r="M27" s="68">
        <v>0</v>
      </c>
      <c r="N27" s="64"/>
      <c r="O27" s="65"/>
      <c r="P27" s="68">
        <v>0</v>
      </c>
      <c r="Q27" s="64"/>
      <c r="R27" s="65"/>
      <c r="S27" s="68">
        <v>0</v>
      </c>
      <c r="T27" s="64"/>
      <c r="U27" s="65"/>
      <c r="V27" s="68">
        <v>0</v>
      </c>
      <c r="W27" s="64"/>
      <c r="X27" s="65"/>
    </row>
    <row r="28" spans="2:24">
      <c r="B28" s="2" t="s">
        <v>22</v>
      </c>
      <c r="C28" s="3">
        <v>32</v>
      </c>
      <c r="D28" s="68">
        <v>0</v>
      </c>
      <c r="E28" s="64"/>
      <c r="F28" s="64"/>
      <c r="G28" s="65"/>
      <c r="H28" s="68">
        <v>818</v>
      </c>
      <c r="I28" s="65"/>
      <c r="J28" s="68">
        <v>0</v>
      </c>
      <c r="K28" s="64"/>
      <c r="L28" s="65"/>
      <c r="M28" s="68">
        <v>0</v>
      </c>
      <c r="N28" s="64"/>
      <c r="O28" s="65"/>
      <c r="P28" s="68">
        <v>0</v>
      </c>
      <c r="Q28" s="64"/>
      <c r="R28" s="65"/>
      <c r="S28" s="68">
        <v>0</v>
      </c>
      <c r="T28" s="64"/>
      <c r="U28" s="65"/>
      <c r="V28" s="68">
        <v>0</v>
      </c>
      <c r="W28" s="64"/>
      <c r="X28" s="65"/>
    </row>
    <row r="29" spans="2:24">
      <c r="B29" s="2" t="s">
        <v>23</v>
      </c>
      <c r="C29" s="3">
        <v>4180</v>
      </c>
      <c r="D29" s="68">
        <v>68</v>
      </c>
      <c r="E29" s="64"/>
      <c r="F29" s="64"/>
      <c r="G29" s="65"/>
      <c r="H29" s="68">
        <v>3846</v>
      </c>
      <c r="I29" s="65"/>
      <c r="J29" s="68">
        <v>0</v>
      </c>
      <c r="K29" s="64"/>
      <c r="L29" s="65"/>
      <c r="M29" s="68">
        <v>0</v>
      </c>
      <c r="N29" s="64"/>
      <c r="O29" s="65"/>
      <c r="P29" s="68">
        <v>0</v>
      </c>
      <c r="Q29" s="64"/>
      <c r="R29" s="65"/>
      <c r="S29" s="68">
        <v>0</v>
      </c>
      <c r="T29" s="64"/>
      <c r="U29" s="65"/>
      <c r="V29" s="68">
        <v>0</v>
      </c>
      <c r="W29" s="64"/>
      <c r="X29" s="65"/>
    </row>
    <row r="30" spans="2:24" ht="9.6" customHeight="1"/>
    <row r="31" spans="2:24" ht="18" customHeight="1">
      <c r="B31" s="71" t="s">
        <v>24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</row>
    <row r="33" spans="2:2">
      <c r="B33" s="9" t="s">
        <v>25</v>
      </c>
    </row>
    <row r="34" spans="2:2">
      <c r="B34" s="4" t="s">
        <v>178</v>
      </c>
    </row>
    <row r="35" spans="2:2">
      <c r="B35" s="4" t="s">
        <v>26</v>
      </c>
    </row>
    <row r="36" spans="2:2">
      <c r="B36" s="4" t="s">
        <v>27</v>
      </c>
    </row>
    <row r="37" spans="2:2">
      <c r="B37" s="4" t="s">
        <v>28</v>
      </c>
    </row>
    <row r="39" spans="2:2">
      <c r="B39" s="4" t="s">
        <v>29</v>
      </c>
    </row>
    <row r="40" spans="2:2">
      <c r="B40" s="4" t="s">
        <v>160</v>
      </c>
    </row>
    <row r="41" spans="2:2">
      <c r="B41" s="4" t="s">
        <v>101</v>
      </c>
    </row>
    <row r="42" spans="2:2">
      <c r="B42" s="4" t="s">
        <v>158</v>
      </c>
    </row>
    <row r="43" spans="2:2">
      <c r="B43" s="4" t="s">
        <v>187</v>
      </c>
    </row>
    <row r="44" spans="2:2">
      <c r="B44" s="4" t="s">
        <v>159</v>
      </c>
    </row>
    <row r="45" spans="2:2">
      <c r="B45" s="4" t="s">
        <v>100</v>
      </c>
    </row>
  </sheetData>
  <mergeCells count="152">
    <mergeCell ref="B31:W31"/>
    <mergeCell ref="F5:Q6"/>
    <mergeCell ref="V25:X25"/>
    <mergeCell ref="V26:X26"/>
    <mergeCell ref="V27:X27"/>
    <mergeCell ref="V28:X28"/>
    <mergeCell ref="V29:X29"/>
    <mergeCell ref="V20:X20"/>
    <mergeCell ref="V21:X21"/>
    <mergeCell ref="V22:X22"/>
    <mergeCell ref="V23:X23"/>
    <mergeCell ref="V24:X24"/>
    <mergeCell ref="S26:U26"/>
    <mergeCell ref="S27:U27"/>
    <mergeCell ref="S28:U28"/>
    <mergeCell ref="S29:U29"/>
    <mergeCell ref="W3:W5"/>
    <mergeCell ref="V9:X9"/>
    <mergeCell ref="V10:X10"/>
    <mergeCell ref="V11:X11"/>
    <mergeCell ref="V12:X12"/>
    <mergeCell ref="V13:X13"/>
    <mergeCell ref="V14:X14"/>
    <mergeCell ref="V15:X15"/>
    <mergeCell ref="V16:X16"/>
    <mergeCell ref="V17:X17"/>
    <mergeCell ref="V18:X18"/>
    <mergeCell ref="V19:X19"/>
    <mergeCell ref="S21:U21"/>
    <mergeCell ref="S22:U22"/>
    <mergeCell ref="S23:U23"/>
    <mergeCell ref="S24:U24"/>
    <mergeCell ref="S25:U25"/>
    <mergeCell ref="P27:R27"/>
    <mergeCell ref="P28:R28"/>
    <mergeCell ref="P29:R29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P22:R22"/>
    <mergeCell ref="P23:R23"/>
    <mergeCell ref="P24:R24"/>
    <mergeCell ref="P25:R25"/>
    <mergeCell ref="P26:R26"/>
    <mergeCell ref="M28:O28"/>
    <mergeCell ref="M29:O29"/>
    <mergeCell ref="P9:R9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M23:O23"/>
    <mergeCell ref="M24:O24"/>
    <mergeCell ref="M25:O25"/>
    <mergeCell ref="M26:O26"/>
    <mergeCell ref="M27:O27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D28:G28"/>
    <mergeCell ref="H28:I28"/>
    <mergeCell ref="J28:L28"/>
    <mergeCell ref="D29:G29"/>
    <mergeCell ref="H29:I29"/>
    <mergeCell ref="J29:L29"/>
    <mergeCell ref="D26:G26"/>
    <mergeCell ref="H26:I26"/>
    <mergeCell ref="J26:L26"/>
    <mergeCell ref="D27:G27"/>
    <mergeCell ref="H27:I27"/>
    <mergeCell ref="J27:L27"/>
    <mergeCell ref="D24:G24"/>
    <mergeCell ref="H24:I24"/>
    <mergeCell ref="J24:L24"/>
    <mergeCell ref="D25:G25"/>
    <mergeCell ref="H25:I25"/>
    <mergeCell ref="J25:L25"/>
    <mergeCell ref="D22:G22"/>
    <mergeCell ref="H22:I22"/>
    <mergeCell ref="J22:L22"/>
    <mergeCell ref="D23:G23"/>
    <mergeCell ref="H23:I23"/>
    <mergeCell ref="J23:L23"/>
    <mergeCell ref="D20:G20"/>
    <mergeCell ref="H20:I20"/>
    <mergeCell ref="J20:L20"/>
    <mergeCell ref="D21:G21"/>
    <mergeCell ref="H21:I21"/>
    <mergeCell ref="J21:L21"/>
    <mergeCell ref="D18:G18"/>
    <mergeCell ref="H18:I18"/>
    <mergeCell ref="J18:L18"/>
    <mergeCell ref="D19:G19"/>
    <mergeCell ref="H19:I19"/>
    <mergeCell ref="J19:L19"/>
    <mergeCell ref="D16:G16"/>
    <mergeCell ref="H16:I16"/>
    <mergeCell ref="J16:L16"/>
    <mergeCell ref="D17:G17"/>
    <mergeCell ref="H17:I17"/>
    <mergeCell ref="J17:L17"/>
    <mergeCell ref="D14:G14"/>
    <mergeCell ref="H14:I14"/>
    <mergeCell ref="J14:L14"/>
    <mergeCell ref="D15:G15"/>
    <mergeCell ref="H15:I15"/>
    <mergeCell ref="J15:L15"/>
    <mergeCell ref="F2:I3"/>
    <mergeCell ref="B3:D7"/>
    <mergeCell ref="D9:G9"/>
    <mergeCell ref="J9:L9"/>
    <mergeCell ref="D12:G12"/>
    <mergeCell ref="H12:I12"/>
    <mergeCell ref="J12:L12"/>
    <mergeCell ref="H9:I9"/>
    <mergeCell ref="D13:G13"/>
    <mergeCell ref="H13:I13"/>
    <mergeCell ref="J13:L13"/>
    <mergeCell ref="D10:G10"/>
    <mergeCell ref="H10:I10"/>
    <mergeCell ref="J10:L10"/>
    <mergeCell ref="D11:G11"/>
    <mergeCell ref="H11:I11"/>
    <mergeCell ref="J11:L11"/>
  </mergeCells>
  <phoneticPr fontId="6" type="noConversion"/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7A94-6B9B-48D9-A1C0-6CCAE1F77592}">
  <dimension ref="B1:S57"/>
  <sheetViews>
    <sheetView showGridLines="0" tabSelected="1" zoomScaleNormal="100" workbookViewId="0">
      <pane ySplit="8" topLeftCell="A10" activePane="bottomLeft" state="frozen"/>
      <selection pane="bottomLeft" activeCell="B47" sqref="B47"/>
    </sheetView>
  </sheetViews>
  <sheetFormatPr defaultRowHeight="15.75"/>
  <cols>
    <col min="1" max="1" width="2" customWidth="1"/>
    <col min="2" max="2" width="13.42578125" customWidth="1"/>
    <col min="3" max="3" width="7.140625" customWidth="1"/>
    <col min="4" max="4" width="4.28515625" customWidth="1"/>
    <col min="5" max="5" width="21.28515625" customWidth="1"/>
    <col min="6" max="6" width="3" customWidth="1"/>
    <col min="7" max="7" width="2.5703125" customWidth="1"/>
    <col min="8" max="8" width="8.85546875" customWidth="1"/>
    <col min="9" max="9" width="4.7109375" customWidth="1"/>
    <col min="10" max="10" width="8.85546875" customWidth="1"/>
    <col min="11" max="11" width="11.7109375" customWidth="1"/>
    <col min="12" max="12" width="2.85546875" customWidth="1"/>
    <col min="13" max="13" width="5" customWidth="1"/>
    <col min="14" max="14" width="7.85546875" customWidth="1"/>
    <col min="15" max="15" width="5.140625" customWidth="1"/>
    <col min="16" max="16" width="10.42578125" customWidth="1"/>
    <col min="17" max="17" width="15.5703125" customWidth="1"/>
    <col min="18" max="18" width="3.7109375" customWidth="1"/>
    <col min="19" max="19" width="19.42578125" customWidth="1"/>
    <col min="20" max="20" width="6.28515625" customWidth="1"/>
  </cols>
  <sheetData>
    <row r="1" spans="2:19" ht="4.7" customHeight="1"/>
    <row r="2" spans="2:19">
      <c r="H2" s="60" t="s">
        <v>0</v>
      </c>
      <c r="I2" s="60"/>
      <c r="J2" s="60"/>
      <c r="K2" s="60"/>
      <c r="L2" s="60"/>
      <c r="M2" s="60"/>
      <c r="N2" s="60"/>
    </row>
    <row r="3" spans="2:19">
      <c r="B3" s="62" t="s">
        <v>198</v>
      </c>
      <c r="C3" s="61"/>
      <c r="D3" s="61"/>
      <c r="E3" s="61"/>
      <c r="F3" s="61"/>
      <c r="H3" s="60"/>
      <c r="I3" s="60"/>
      <c r="J3" s="60"/>
      <c r="K3" s="60"/>
      <c r="L3" s="60"/>
      <c r="M3" s="60"/>
      <c r="N3" s="60"/>
      <c r="R3" s="73" t="s">
        <v>30</v>
      </c>
      <c r="S3" s="73"/>
    </row>
    <row r="4" spans="2:19">
      <c r="B4" s="61"/>
      <c r="C4" s="61"/>
      <c r="D4" s="61"/>
      <c r="E4" s="61"/>
      <c r="F4" s="61"/>
      <c r="R4" s="73"/>
      <c r="S4" s="73"/>
    </row>
    <row r="5" spans="2:19">
      <c r="B5" s="61"/>
      <c r="C5" s="61"/>
      <c r="D5" s="61"/>
      <c r="E5" s="61"/>
      <c r="F5" s="61"/>
    </row>
    <row r="6" spans="2:19" ht="64.5" customHeight="1">
      <c r="B6" s="61"/>
      <c r="C6" s="61"/>
      <c r="D6" s="61"/>
      <c r="E6" s="61"/>
      <c r="F6" s="61"/>
      <c r="H6" s="72" t="s">
        <v>140</v>
      </c>
      <c r="I6" s="72"/>
      <c r="J6" s="72"/>
      <c r="K6" s="72"/>
      <c r="L6" s="72"/>
      <c r="M6" s="72"/>
      <c r="N6" s="72"/>
    </row>
    <row r="7" spans="2:19">
      <c r="B7" s="61"/>
      <c r="C7" s="61"/>
      <c r="D7" s="61"/>
      <c r="E7" s="61"/>
      <c r="F7" s="61"/>
    </row>
    <row r="8" spans="2:19" ht="3" customHeight="1"/>
    <row r="9" spans="2:19" ht="0.6" customHeight="1"/>
    <row r="10" spans="2:19" ht="17.100000000000001" customHeight="1">
      <c r="B10" s="32" t="s">
        <v>102</v>
      </c>
      <c r="C10" s="29"/>
      <c r="D10" s="29"/>
    </row>
    <row r="11" spans="2:19" ht="0.95" customHeight="1"/>
    <row r="12" spans="2:19" ht="40.5" customHeight="1">
      <c r="B12" s="30" t="s">
        <v>71</v>
      </c>
      <c r="C12" s="30"/>
      <c r="D12" s="76" t="s">
        <v>31</v>
      </c>
      <c r="E12" s="76"/>
      <c r="F12" s="76" t="s">
        <v>32</v>
      </c>
      <c r="G12" s="76"/>
      <c r="H12" s="76"/>
      <c r="I12" s="76" t="s">
        <v>33</v>
      </c>
      <c r="J12" s="76"/>
      <c r="K12" s="17" t="s">
        <v>34</v>
      </c>
      <c r="L12" s="76" t="s">
        <v>35</v>
      </c>
      <c r="M12" s="76"/>
      <c r="N12" s="76" t="s">
        <v>36</v>
      </c>
      <c r="O12" s="76"/>
      <c r="P12" s="30" t="s">
        <v>37</v>
      </c>
      <c r="Q12" s="30" t="s">
        <v>38</v>
      </c>
      <c r="R12" s="16"/>
      <c r="S12" s="30" t="s">
        <v>39</v>
      </c>
    </row>
    <row r="13" spans="2:19">
      <c r="B13" s="75" t="s">
        <v>40</v>
      </c>
      <c r="C13" s="75"/>
      <c r="D13" s="73" t="s">
        <v>41</v>
      </c>
      <c r="E13" s="73"/>
      <c r="F13" s="73" t="s">
        <v>42</v>
      </c>
      <c r="G13" s="73"/>
      <c r="H13" s="73"/>
      <c r="I13" s="73" t="s">
        <v>42</v>
      </c>
      <c r="J13" s="73"/>
      <c r="K13" s="11">
        <f>I13-F13+1</f>
        <v>1</v>
      </c>
      <c r="L13" s="77" t="s">
        <v>43</v>
      </c>
      <c r="M13" s="77"/>
      <c r="N13" s="73" t="s">
        <v>44</v>
      </c>
      <c r="O13" s="73"/>
      <c r="P13" s="11" t="s">
        <v>45</v>
      </c>
      <c r="Q13" s="73" t="s">
        <v>47</v>
      </c>
      <c r="R13" s="73"/>
      <c r="S13" s="11" t="s">
        <v>0</v>
      </c>
    </row>
    <row r="14" spans="2:19" ht="15.75" customHeight="1">
      <c r="B14" s="25"/>
      <c r="C14" s="15"/>
      <c r="D14" s="15"/>
    </row>
    <row r="15" spans="2:19" ht="15.75" customHeight="1">
      <c r="B15" s="32" t="s">
        <v>180</v>
      </c>
      <c r="C15" s="31"/>
      <c r="D15" s="15"/>
    </row>
    <row r="16" spans="2:19" ht="40.5" customHeight="1">
      <c r="B16" s="30" t="s">
        <v>71</v>
      </c>
      <c r="C16" s="30"/>
      <c r="D16" s="76" t="s">
        <v>31</v>
      </c>
      <c r="E16" s="76"/>
      <c r="F16" s="76" t="s">
        <v>32</v>
      </c>
      <c r="G16" s="76"/>
      <c r="H16" s="76"/>
      <c r="I16" s="76" t="s">
        <v>33</v>
      </c>
      <c r="J16" s="76"/>
      <c r="K16" s="17" t="s">
        <v>34</v>
      </c>
      <c r="L16" s="76" t="s">
        <v>35</v>
      </c>
      <c r="M16" s="76"/>
      <c r="N16" s="76" t="s">
        <v>36</v>
      </c>
      <c r="O16" s="76"/>
      <c r="P16" s="30" t="s">
        <v>37</v>
      </c>
      <c r="Q16" s="30" t="s">
        <v>38</v>
      </c>
      <c r="R16" s="16"/>
      <c r="S16" s="30" t="s">
        <v>39</v>
      </c>
    </row>
    <row r="17" spans="2:19">
      <c r="B17" s="75" t="s">
        <v>40</v>
      </c>
      <c r="C17" s="75"/>
      <c r="D17" s="73" t="s">
        <v>41</v>
      </c>
      <c r="E17" s="73"/>
      <c r="F17" s="73" t="s">
        <v>42</v>
      </c>
      <c r="G17" s="73"/>
      <c r="H17" s="73"/>
      <c r="I17" s="73" t="s">
        <v>42</v>
      </c>
      <c r="J17" s="73"/>
      <c r="K17" s="11">
        <f>I17-F17+1</f>
        <v>1</v>
      </c>
      <c r="L17" s="77" t="s">
        <v>43</v>
      </c>
      <c r="M17" s="77"/>
      <c r="N17" s="73" t="s">
        <v>44</v>
      </c>
      <c r="O17" s="73"/>
      <c r="P17" s="11" t="s">
        <v>45</v>
      </c>
      <c r="Q17" s="73" t="s">
        <v>49</v>
      </c>
      <c r="R17" s="73"/>
      <c r="S17" s="26" t="s">
        <v>199</v>
      </c>
    </row>
    <row r="18" spans="2:19" ht="15.75" customHeight="1">
      <c r="B18" s="32"/>
      <c r="C18" s="31"/>
      <c r="D18" s="15"/>
    </row>
    <row r="19" spans="2:19" ht="15.75" customHeight="1">
      <c r="B19" s="32" t="s">
        <v>179</v>
      </c>
      <c r="C19" s="31"/>
      <c r="D19" s="15"/>
    </row>
    <row r="20" spans="2:19" ht="40.5" customHeight="1">
      <c r="B20" s="30" t="s">
        <v>71</v>
      </c>
      <c r="C20" s="30"/>
      <c r="D20" s="76" t="s">
        <v>31</v>
      </c>
      <c r="E20" s="76"/>
      <c r="F20" s="76" t="s">
        <v>32</v>
      </c>
      <c r="G20" s="76"/>
      <c r="H20" s="76"/>
      <c r="I20" s="76" t="s">
        <v>33</v>
      </c>
      <c r="J20" s="76"/>
      <c r="K20" s="17" t="s">
        <v>34</v>
      </c>
      <c r="L20" s="76" t="s">
        <v>35</v>
      </c>
      <c r="M20" s="76"/>
      <c r="N20" s="76" t="s">
        <v>36</v>
      </c>
      <c r="O20" s="76"/>
      <c r="P20" s="30" t="s">
        <v>37</v>
      </c>
      <c r="Q20" s="30" t="s">
        <v>38</v>
      </c>
      <c r="R20" s="16"/>
      <c r="S20" s="30" t="s">
        <v>39</v>
      </c>
    </row>
    <row r="21" spans="2:19" ht="15.75" customHeight="1">
      <c r="B21" s="75" t="s">
        <v>40</v>
      </c>
      <c r="C21" s="75"/>
      <c r="D21" s="73" t="s">
        <v>41</v>
      </c>
      <c r="E21" s="73"/>
      <c r="F21" s="73" t="s">
        <v>42</v>
      </c>
      <c r="G21" s="73"/>
      <c r="H21" s="73"/>
      <c r="I21" s="73" t="s">
        <v>42</v>
      </c>
      <c r="J21" s="73"/>
      <c r="K21" s="11">
        <f>I21-F21+1</f>
        <v>1</v>
      </c>
      <c r="L21" s="73" t="s">
        <v>43</v>
      </c>
      <c r="M21" s="73"/>
      <c r="N21" s="73" t="s">
        <v>44</v>
      </c>
      <c r="O21" s="73"/>
      <c r="P21" s="11" t="s">
        <v>45</v>
      </c>
      <c r="Q21" s="73" t="s">
        <v>48</v>
      </c>
      <c r="R21" s="73"/>
      <c r="S21" s="11" t="s">
        <v>0</v>
      </c>
    </row>
    <row r="22" spans="2:19" ht="15.75" customHeight="1">
      <c r="B22" s="32"/>
      <c r="C22" s="31"/>
      <c r="D22" s="15"/>
    </row>
    <row r="23" spans="2:19" ht="15.75" customHeight="1">
      <c r="B23" s="32" t="s">
        <v>181</v>
      </c>
      <c r="C23" s="31"/>
      <c r="D23" s="15"/>
    </row>
    <row r="24" spans="2:19" ht="40.5" customHeight="1">
      <c r="B24" s="30" t="s">
        <v>71</v>
      </c>
      <c r="C24" s="30"/>
      <c r="D24" s="76" t="s">
        <v>31</v>
      </c>
      <c r="E24" s="76"/>
      <c r="F24" s="76" t="s">
        <v>32</v>
      </c>
      <c r="G24" s="76"/>
      <c r="H24" s="76"/>
      <c r="I24" s="76" t="s">
        <v>33</v>
      </c>
      <c r="J24" s="76"/>
      <c r="K24" s="17" t="s">
        <v>34</v>
      </c>
      <c r="L24" s="76" t="s">
        <v>35</v>
      </c>
      <c r="M24" s="76"/>
      <c r="N24" s="76" t="s">
        <v>36</v>
      </c>
      <c r="O24" s="76"/>
      <c r="P24" s="30" t="s">
        <v>37</v>
      </c>
      <c r="Q24" s="30" t="s">
        <v>38</v>
      </c>
      <c r="R24" s="16"/>
      <c r="S24" s="30" t="s">
        <v>39</v>
      </c>
    </row>
    <row r="25" spans="2:19">
      <c r="B25" s="75" t="s">
        <v>40</v>
      </c>
      <c r="C25" s="75"/>
      <c r="D25" s="73" t="s">
        <v>41</v>
      </c>
      <c r="E25" s="73"/>
      <c r="F25" s="73" t="s">
        <v>42</v>
      </c>
      <c r="G25" s="73"/>
      <c r="H25" s="73"/>
      <c r="I25" s="73" t="s">
        <v>42</v>
      </c>
      <c r="J25" s="73"/>
      <c r="K25" s="11">
        <f>I25-F25+1</f>
        <v>1</v>
      </c>
      <c r="L25" s="73" t="s">
        <v>43</v>
      </c>
      <c r="M25" s="73"/>
      <c r="N25" s="73" t="s">
        <v>44</v>
      </c>
      <c r="O25" s="73"/>
      <c r="P25" s="11" t="s">
        <v>45</v>
      </c>
      <c r="Q25" s="73" t="s">
        <v>50</v>
      </c>
      <c r="R25" s="73"/>
      <c r="S25" s="11" t="s">
        <v>0</v>
      </c>
    </row>
    <row r="26" spans="2:19" ht="15.75" customHeight="1">
      <c r="B26" s="32"/>
      <c r="C26" s="31"/>
      <c r="D26" s="15"/>
    </row>
    <row r="27" spans="2:19" ht="15.75" customHeight="1">
      <c r="B27" s="32" t="s">
        <v>182</v>
      </c>
      <c r="C27" s="31"/>
      <c r="D27" s="15"/>
    </row>
    <row r="28" spans="2:19" ht="40.5" customHeight="1">
      <c r="B28" s="30" t="s">
        <v>71</v>
      </c>
      <c r="C28" s="30"/>
      <c r="D28" s="76" t="s">
        <v>31</v>
      </c>
      <c r="E28" s="76"/>
      <c r="F28" s="76" t="s">
        <v>32</v>
      </c>
      <c r="G28" s="76"/>
      <c r="H28" s="76"/>
      <c r="I28" s="76" t="s">
        <v>33</v>
      </c>
      <c r="J28" s="76"/>
      <c r="K28" s="17" t="s">
        <v>34</v>
      </c>
      <c r="L28" s="76" t="s">
        <v>35</v>
      </c>
      <c r="M28" s="76"/>
      <c r="N28" s="76" t="s">
        <v>36</v>
      </c>
      <c r="O28" s="76"/>
      <c r="P28" s="30" t="s">
        <v>37</v>
      </c>
      <c r="Q28" s="30" t="s">
        <v>38</v>
      </c>
      <c r="R28" s="16"/>
      <c r="S28" s="30" t="s">
        <v>39</v>
      </c>
    </row>
    <row r="29" spans="2:19">
      <c r="B29" s="75" t="s">
        <v>40</v>
      </c>
      <c r="C29" s="75"/>
      <c r="D29" s="73" t="s">
        <v>41</v>
      </c>
      <c r="E29" s="73"/>
      <c r="F29" s="73" t="s">
        <v>42</v>
      </c>
      <c r="G29" s="73"/>
      <c r="H29" s="73"/>
      <c r="I29" s="73" t="s">
        <v>42</v>
      </c>
      <c r="J29" s="73"/>
      <c r="K29" s="11">
        <f>I29-F29+1</f>
        <v>1</v>
      </c>
      <c r="L29" s="73" t="s">
        <v>43</v>
      </c>
      <c r="M29" s="73"/>
      <c r="N29" s="73" t="s">
        <v>44</v>
      </c>
      <c r="O29" s="73"/>
      <c r="P29" s="11" t="s">
        <v>45</v>
      </c>
      <c r="Q29" s="73" t="s">
        <v>51</v>
      </c>
      <c r="R29" s="73"/>
      <c r="S29" s="58" t="s">
        <v>188</v>
      </c>
    </row>
    <row r="30" spans="2:19" ht="15.75" customHeight="1">
      <c r="B30" s="32"/>
      <c r="C30" s="31"/>
      <c r="D30" s="15"/>
    </row>
    <row r="31" spans="2:19" ht="15.75" customHeight="1">
      <c r="B31" s="32" t="s">
        <v>183</v>
      </c>
      <c r="C31" s="31"/>
      <c r="D31" s="15"/>
    </row>
    <row r="32" spans="2:19" ht="40.5" customHeight="1">
      <c r="B32" s="30" t="s">
        <v>71</v>
      </c>
      <c r="C32" s="30"/>
      <c r="D32" s="76" t="s">
        <v>31</v>
      </c>
      <c r="E32" s="76"/>
      <c r="F32" s="76" t="s">
        <v>32</v>
      </c>
      <c r="G32" s="76"/>
      <c r="H32" s="76"/>
      <c r="I32" s="76" t="s">
        <v>33</v>
      </c>
      <c r="J32" s="76"/>
      <c r="K32" s="17" t="s">
        <v>34</v>
      </c>
      <c r="L32" s="76" t="s">
        <v>35</v>
      </c>
      <c r="M32" s="76"/>
      <c r="N32" s="76" t="s">
        <v>36</v>
      </c>
      <c r="O32" s="76"/>
      <c r="P32" s="30" t="s">
        <v>37</v>
      </c>
      <c r="Q32" s="30" t="s">
        <v>38</v>
      </c>
      <c r="R32" s="16"/>
      <c r="S32" s="30" t="s">
        <v>39</v>
      </c>
    </row>
    <row r="33" spans="2:19">
      <c r="B33" s="75" t="s">
        <v>40</v>
      </c>
      <c r="C33" s="75"/>
      <c r="D33" s="73" t="s">
        <v>41</v>
      </c>
      <c r="E33" s="73"/>
      <c r="F33" s="73" t="s">
        <v>42</v>
      </c>
      <c r="G33" s="73"/>
      <c r="H33" s="73"/>
      <c r="I33" s="73" t="s">
        <v>42</v>
      </c>
      <c r="J33" s="73"/>
      <c r="K33" s="11">
        <f>I33-F33+1</f>
        <v>1</v>
      </c>
      <c r="L33" s="73" t="s">
        <v>43</v>
      </c>
      <c r="M33" s="73"/>
      <c r="N33" s="73" t="s">
        <v>44</v>
      </c>
      <c r="O33" s="73"/>
      <c r="P33" s="11" t="s">
        <v>45</v>
      </c>
      <c r="Q33" s="73" t="s">
        <v>52</v>
      </c>
      <c r="R33" s="73"/>
      <c r="S33" s="11" t="s">
        <v>0</v>
      </c>
    </row>
    <row r="34" spans="2:19" ht="15.75" customHeight="1">
      <c r="B34" s="32"/>
      <c r="C34" s="31"/>
      <c r="D34" s="15"/>
    </row>
    <row r="35" spans="2:19" ht="15.75" customHeight="1">
      <c r="B35" s="32" t="s">
        <v>184</v>
      </c>
      <c r="C35" s="31"/>
    </row>
    <row r="36" spans="2:19" ht="40.5" customHeight="1">
      <c r="B36" s="30" t="s">
        <v>71</v>
      </c>
      <c r="C36" s="30"/>
      <c r="D36" s="76" t="s">
        <v>31</v>
      </c>
      <c r="E36" s="76"/>
      <c r="F36" s="76" t="s">
        <v>32</v>
      </c>
      <c r="G36" s="76"/>
      <c r="H36" s="76"/>
      <c r="I36" s="76" t="s">
        <v>33</v>
      </c>
      <c r="J36" s="76"/>
      <c r="K36" s="17" t="s">
        <v>34</v>
      </c>
      <c r="L36" s="76" t="s">
        <v>35</v>
      </c>
      <c r="M36" s="76"/>
      <c r="N36" s="76" t="s">
        <v>36</v>
      </c>
      <c r="O36" s="76"/>
      <c r="P36" s="30" t="s">
        <v>37</v>
      </c>
      <c r="Q36" s="30" t="s">
        <v>38</v>
      </c>
      <c r="R36" s="16"/>
      <c r="S36" s="30" t="s">
        <v>39</v>
      </c>
    </row>
    <row r="37" spans="2:19">
      <c r="B37" s="75" t="s">
        <v>40</v>
      </c>
      <c r="C37" s="75"/>
      <c r="D37" s="73" t="s">
        <v>41</v>
      </c>
      <c r="E37" s="73"/>
      <c r="F37" s="73" t="s">
        <v>42</v>
      </c>
      <c r="G37" s="73"/>
      <c r="H37" s="73"/>
      <c r="I37" s="73" t="s">
        <v>42</v>
      </c>
      <c r="J37" s="73"/>
      <c r="K37" s="11">
        <f>I37-F37+1</f>
        <v>1</v>
      </c>
      <c r="L37" s="73" t="s">
        <v>43</v>
      </c>
      <c r="M37" s="73"/>
      <c r="N37" s="73" t="s">
        <v>44</v>
      </c>
      <c r="O37" s="73"/>
      <c r="P37" s="11" t="s">
        <v>45</v>
      </c>
      <c r="Q37" s="73" t="s">
        <v>53</v>
      </c>
      <c r="R37" s="73"/>
      <c r="S37" s="11" t="s">
        <v>0</v>
      </c>
    </row>
    <row r="38" spans="2:19" ht="15.75" customHeight="1">
      <c r="B38" s="32"/>
      <c r="C38" s="31"/>
    </row>
    <row r="39" spans="2:19" ht="15.75" customHeight="1">
      <c r="B39" s="32" t="s">
        <v>185</v>
      </c>
      <c r="C39" s="31"/>
      <c r="J39" s="74"/>
      <c r="K39" s="61"/>
      <c r="L39" s="61"/>
    </row>
    <row r="40" spans="2:19" ht="40.5" customHeight="1">
      <c r="B40" s="30" t="s">
        <v>71</v>
      </c>
      <c r="C40" s="30"/>
      <c r="D40" s="76" t="s">
        <v>31</v>
      </c>
      <c r="E40" s="76"/>
      <c r="F40" s="76" t="s">
        <v>32</v>
      </c>
      <c r="G40" s="76"/>
      <c r="H40" s="76"/>
      <c r="I40" s="76" t="s">
        <v>33</v>
      </c>
      <c r="J40" s="76"/>
      <c r="K40" s="17" t="s">
        <v>34</v>
      </c>
      <c r="L40" s="76" t="s">
        <v>35</v>
      </c>
      <c r="M40" s="76"/>
      <c r="N40" s="76" t="s">
        <v>36</v>
      </c>
      <c r="O40" s="76"/>
      <c r="P40" s="30" t="s">
        <v>37</v>
      </c>
      <c r="Q40" s="30" t="s">
        <v>38</v>
      </c>
      <c r="R40" s="16"/>
      <c r="S40" s="30" t="s">
        <v>39</v>
      </c>
    </row>
    <row r="41" spans="2:19">
      <c r="B41" s="75" t="s">
        <v>40</v>
      </c>
      <c r="C41" s="75"/>
      <c r="D41" s="73" t="s">
        <v>41</v>
      </c>
      <c r="E41" s="73"/>
      <c r="F41" s="73" t="s">
        <v>42</v>
      </c>
      <c r="G41" s="73"/>
      <c r="H41" s="73"/>
      <c r="I41" s="73" t="s">
        <v>42</v>
      </c>
      <c r="J41" s="73"/>
      <c r="K41" s="11">
        <f>I41-F41+1</f>
        <v>1</v>
      </c>
      <c r="L41" s="73" t="s">
        <v>43</v>
      </c>
      <c r="M41" s="73"/>
      <c r="N41" s="73" t="s">
        <v>44</v>
      </c>
      <c r="O41" s="73"/>
      <c r="P41" s="11" t="s">
        <v>45</v>
      </c>
      <c r="Q41" s="73" t="s">
        <v>54</v>
      </c>
      <c r="R41" s="73"/>
      <c r="S41" s="11" t="s">
        <v>0</v>
      </c>
    </row>
    <row r="43" spans="2:19" ht="15.75" customHeight="1">
      <c r="B43" s="32"/>
      <c r="C43" s="31"/>
      <c r="J43" s="74" t="s">
        <v>24</v>
      </c>
      <c r="K43" s="61"/>
      <c r="L43" s="61"/>
    </row>
    <row r="45" spans="2:19">
      <c r="B45" s="9" t="s">
        <v>25</v>
      </c>
    </row>
    <row r="46" spans="2:19">
      <c r="B46" s="4" t="s">
        <v>178</v>
      </c>
    </row>
    <row r="47" spans="2:19">
      <c r="B47" s="4" t="s">
        <v>26</v>
      </c>
    </row>
    <row r="48" spans="2:19">
      <c r="B48" s="4" t="s">
        <v>27</v>
      </c>
    </row>
    <row r="50" spans="2:6">
      <c r="B50" s="4" t="s">
        <v>29</v>
      </c>
    </row>
    <row r="51" spans="2:6">
      <c r="B51" s="4" t="s">
        <v>173</v>
      </c>
    </row>
    <row r="52" spans="2:6">
      <c r="B52" s="36" t="s">
        <v>174</v>
      </c>
      <c r="C52" s="41"/>
      <c r="E52" s="41"/>
      <c r="F52" s="41"/>
    </row>
    <row r="53" spans="2:6">
      <c r="B53" s="4" t="s">
        <v>175</v>
      </c>
    </row>
    <row r="54" spans="2:6">
      <c r="B54" s="4"/>
    </row>
    <row r="55" spans="2:6">
      <c r="B55" s="36" t="s">
        <v>0</v>
      </c>
    </row>
    <row r="56" spans="2:6">
      <c r="B56" s="4"/>
    </row>
    <row r="57" spans="2:6">
      <c r="B57" s="4"/>
    </row>
  </sheetData>
  <mergeCells count="102">
    <mergeCell ref="R3:S4"/>
    <mergeCell ref="H6:N6"/>
    <mergeCell ref="H2:N3"/>
    <mergeCell ref="J39:L39"/>
    <mergeCell ref="N12:O12"/>
    <mergeCell ref="L12:M12"/>
    <mergeCell ref="B3:F7"/>
    <mergeCell ref="D12:E12"/>
    <mergeCell ref="F12:H12"/>
    <mergeCell ref="I12:J12"/>
    <mergeCell ref="D16:E16"/>
    <mergeCell ref="F16:H16"/>
    <mergeCell ref="Q13:R13"/>
    <mergeCell ref="L13:M13"/>
    <mergeCell ref="N13:O13"/>
    <mergeCell ref="B13:C13"/>
    <mergeCell ref="D13:E13"/>
    <mergeCell ref="F13:H13"/>
    <mergeCell ref="I13:J13"/>
    <mergeCell ref="Q17:R17"/>
    <mergeCell ref="D20:E20"/>
    <mergeCell ref="F20:H20"/>
    <mergeCell ref="I20:J20"/>
    <mergeCell ref="L20:M20"/>
    <mergeCell ref="N20:O20"/>
    <mergeCell ref="N16:O16"/>
    <mergeCell ref="B17:C17"/>
    <mergeCell ref="D17:E17"/>
    <mergeCell ref="F17:H17"/>
    <mergeCell ref="I17:J17"/>
    <mergeCell ref="L17:M17"/>
    <mergeCell ref="N17:O17"/>
    <mergeCell ref="I16:J16"/>
    <mergeCell ref="L16:M16"/>
    <mergeCell ref="N21:O21"/>
    <mergeCell ref="Q21:R21"/>
    <mergeCell ref="B21:C21"/>
    <mergeCell ref="D21:E21"/>
    <mergeCell ref="F21:H21"/>
    <mergeCell ref="I21:J21"/>
    <mergeCell ref="L21:M21"/>
    <mergeCell ref="D24:E24"/>
    <mergeCell ref="F24:H24"/>
    <mergeCell ref="I24:J24"/>
    <mergeCell ref="L24:M24"/>
    <mergeCell ref="N24:O24"/>
    <mergeCell ref="N25:O25"/>
    <mergeCell ref="Q25:R25"/>
    <mergeCell ref="D28:E28"/>
    <mergeCell ref="F28:H28"/>
    <mergeCell ref="I28:J28"/>
    <mergeCell ref="L28:M28"/>
    <mergeCell ref="N28:O28"/>
    <mergeCell ref="B25:C25"/>
    <mergeCell ref="D25:E25"/>
    <mergeCell ref="F25:H25"/>
    <mergeCell ref="I25:J25"/>
    <mergeCell ref="L25:M25"/>
    <mergeCell ref="N29:O29"/>
    <mergeCell ref="Q29:R29"/>
    <mergeCell ref="D32:E32"/>
    <mergeCell ref="F32:H32"/>
    <mergeCell ref="I32:J32"/>
    <mergeCell ref="L32:M32"/>
    <mergeCell ref="N32:O32"/>
    <mergeCell ref="B29:C29"/>
    <mergeCell ref="D29:E29"/>
    <mergeCell ref="F29:H29"/>
    <mergeCell ref="I29:J29"/>
    <mergeCell ref="L29:M29"/>
    <mergeCell ref="N33:O33"/>
    <mergeCell ref="Q33:R33"/>
    <mergeCell ref="D36:E36"/>
    <mergeCell ref="F36:H36"/>
    <mergeCell ref="I36:J36"/>
    <mergeCell ref="L36:M36"/>
    <mergeCell ref="N36:O36"/>
    <mergeCell ref="B33:C33"/>
    <mergeCell ref="D33:E33"/>
    <mergeCell ref="F33:H33"/>
    <mergeCell ref="I33:J33"/>
    <mergeCell ref="L33:M33"/>
    <mergeCell ref="N41:O41"/>
    <mergeCell ref="Q41:R41"/>
    <mergeCell ref="J43:L43"/>
    <mergeCell ref="B41:C41"/>
    <mergeCell ref="D41:E41"/>
    <mergeCell ref="F41:H41"/>
    <mergeCell ref="I41:J41"/>
    <mergeCell ref="L41:M41"/>
    <mergeCell ref="N37:O37"/>
    <mergeCell ref="Q37:R37"/>
    <mergeCell ref="D40:E40"/>
    <mergeCell ref="F40:H40"/>
    <mergeCell ref="I40:J40"/>
    <mergeCell ref="L40:M40"/>
    <mergeCell ref="N40:O40"/>
    <mergeCell ref="B37:C37"/>
    <mergeCell ref="D37:E37"/>
    <mergeCell ref="F37:H37"/>
    <mergeCell ref="I37:J37"/>
    <mergeCell ref="L37:M37"/>
  </mergeCells>
  <pageMargins left="0.196850393700787" right="0.196850393700787" top="0.196850393700787" bottom="0.196850393700787" header="0.196850393700787" footer="0.196850393700787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1250-FE10-4372-A636-8486D9C31CE6}">
  <dimension ref="B1:Q49"/>
  <sheetViews>
    <sheetView showGridLines="0" zoomScaleNormal="100" workbookViewId="0">
      <pane ySplit="9" topLeftCell="A10" activePane="bottomLeft" state="frozen"/>
      <selection pane="bottomLeft" activeCell="H37" sqref="H37"/>
    </sheetView>
  </sheetViews>
  <sheetFormatPr defaultColWidth="8.7109375" defaultRowHeight="15"/>
  <cols>
    <col min="1" max="1" width="1.5703125" style="5" customWidth="1"/>
    <col min="2" max="2" width="27.28515625" style="5" customWidth="1"/>
    <col min="3" max="3" width="2.7109375" style="5" customWidth="1"/>
    <col min="4" max="4" width="18.140625" style="5" bestFit="1" customWidth="1"/>
    <col min="5" max="5" width="2.7109375" style="5" customWidth="1"/>
    <col min="6" max="6" width="10.7109375" style="5" bestFit="1" customWidth="1"/>
    <col min="7" max="7" width="2.7109375" style="5" customWidth="1"/>
    <col min="8" max="8" width="51.140625" style="5" bestFit="1" customWidth="1"/>
    <col min="9" max="9" width="1.7109375" style="5" customWidth="1"/>
    <col min="10" max="10" width="51.140625" style="5" bestFit="1" customWidth="1"/>
    <col min="11" max="11" width="2.7109375" style="5" customWidth="1"/>
    <col min="12" max="12" width="15.85546875" style="5" bestFit="1" customWidth="1"/>
    <col min="13" max="13" width="2.7109375" style="5" customWidth="1"/>
    <col min="14" max="14" width="11" style="5" bestFit="1" customWidth="1"/>
    <col min="15" max="15" width="2.7109375" style="5" customWidth="1"/>
    <col min="16" max="16" width="14.42578125" style="5" bestFit="1" customWidth="1"/>
    <col min="17" max="17" width="16.85546875" style="5" bestFit="1" customWidth="1"/>
    <col min="18" max="18" width="8.7109375" style="5" customWidth="1"/>
    <col min="19" max="19" width="1.85546875" style="5" customWidth="1"/>
    <col min="20" max="16384" width="8.7109375" style="5"/>
  </cols>
  <sheetData>
    <row r="1" spans="2:17" ht="5.0999999999999996" customHeight="1"/>
    <row r="2" spans="2:17" ht="12" customHeight="1">
      <c r="B2" s="28" t="s">
        <v>55</v>
      </c>
      <c r="I2" s="19" t="s">
        <v>0</v>
      </c>
      <c r="O2" s="28" t="s">
        <v>56</v>
      </c>
    </row>
    <row r="3" spans="2:17" ht="12.95" customHeight="1">
      <c r="B3" s="8" t="s">
        <v>57</v>
      </c>
      <c r="H3" s="34"/>
      <c r="I3" s="33" t="s">
        <v>107</v>
      </c>
      <c r="J3" s="34"/>
      <c r="O3" s="28" t="s">
        <v>108</v>
      </c>
    </row>
    <row r="4" spans="2:17" ht="12.95" customHeight="1">
      <c r="B4" s="8" t="s">
        <v>200</v>
      </c>
      <c r="H4" s="35"/>
      <c r="I4" s="46" t="s">
        <v>58</v>
      </c>
      <c r="J4" s="35"/>
    </row>
    <row r="5" spans="2:17" ht="12.95" customHeight="1">
      <c r="B5" s="28" t="s">
        <v>98</v>
      </c>
      <c r="H5" s="35"/>
      <c r="I5" s="46" t="s">
        <v>97</v>
      </c>
      <c r="J5" s="35"/>
    </row>
    <row r="6" spans="2:17" ht="12.95" customHeight="1">
      <c r="B6" s="27" t="s">
        <v>99</v>
      </c>
    </row>
    <row r="7" spans="2:17" ht="15" customHeight="1"/>
    <row r="8" spans="2:17" ht="18" customHeight="1">
      <c r="B8" s="59" t="s">
        <v>201</v>
      </c>
    </row>
    <row r="9" spans="2:17" ht="5.0999999999999996" customHeight="1"/>
    <row r="10" spans="2:17" ht="14.25" customHeight="1">
      <c r="B10" s="7" t="s">
        <v>31</v>
      </c>
      <c r="D10" s="23" t="s">
        <v>154</v>
      </c>
      <c r="F10" s="7" t="s">
        <v>35</v>
      </c>
      <c r="G10" s="7"/>
      <c r="H10" s="7" t="s">
        <v>59</v>
      </c>
      <c r="J10" s="7" t="s">
        <v>60</v>
      </c>
      <c r="L10" s="7" t="s">
        <v>61</v>
      </c>
      <c r="N10" s="7" t="s">
        <v>62</v>
      </c>
      <c r="O10" s="7"/>
      <c r="P10" s="7" t="s">
        <v>63</v>
      </c>
    </row>
    <row r="11" spans="2:17" ht="5.0999999999999996" customHeight="1">
      <c r="P11" s="8"/>
      <c r="Q11" s="8"/>
    </row>
    <row r="12" spans="2:17" s="41" customFormat="1" ht="15" customHeight="1">
      <c r="B12" s="18" t="s">
        <v>64</v>
      </c>
      <c r="D12" s="11">
        <v>300001</v>
      </c>
      <c r="F12" s="18" t="s">
        <v>43</v>
      </c>
      <c r="G12" s="18"/>
      <c r="H12" s="18" t="s">
        <v>189</v>
      </c>
      <c r="J12" s="18" t="s">
        <v>189</v>
      </c>
      <c r="L12" s="18" t="s">
        <v>65</v>
      </c>
      <c r="N12" s="18" t="s">
        <v>66</v>
      </c>
      <c r="O12" s="18"/>
      <c r="P12" s="47">
        <v>46116.417812500003</v>
      </c>
    </row>
    <row r="13" spans="2:17" s="41" customFormat="1" ht="15" customHeight="1">
      <c r="B13" s="18" t="s">
        <v>64</v>
      </c>
      <c r="D13" s="11">
        <v>300002</v>
      </c>
      <c r="F13" s="18" t="s">
        <v>43</v>
      </c>
      <c r="G13" s="18"/>
      <c r="H13" s="18" t="s">
        <v>190</v>
      </c>
      <c r="J13" s="18" t="s">
        <v>190</v>
      </c>
      <c r="L13" s="18" t="s">
        <v>65</v>
      </c>
      <c r="N13" s="18" t="s">
        <v>66</v>
      </c>
      <c r="O13" s="18"/>
      <c r="P13" s="47">
        <v>46116.420497685183</v>
      </c>
    </row>
    <row r="14" spans="2:17" s="41" customFormat="1" ht="15" customHeight="1">
      <c r="B14" s="18" t="s">
        <v>67</v>
      </c>
      <c r="D14" s="11">
        <v>300003</v>
      </c>
      <c r="F14" s="18" t="s">
        <v>68</v>
      </c>
      <c r="G14" s="18"/>
      <c r="H14" s="18" t="s">
        <v>192</v>
      </c>
      <c r="J14" s="18" t="s">
        <v>191</v>
      </c>
      <c r="L14" s="18" t="s">
        <v>69</v>
      </c>
      <c r="N14" s="18" t="s">
        <v>66</v>
      </c>
      <c r="O14" s="18"/>
      <c r="P14" s="47">
        <v>46116.712164351855</v>
      </c>
    </row>
    <row r="15" spans="2:17" s="41" customFormat="1" ht="15" customHeight="1">
      <c r="B15" s="18" t="s">
        <v>67</v>
      </c>
      <c r="D15" s="11">
        <v>300004</v>
      </c>
      <c r="F15" s="18" t="s">
        <v>68</v>
      </c>
      <c r="G15" s="18"/>
      <c r="H15" s="18"/>
      <c r="J15" s="18" t="s">
        <v>109</v>
      </c>
      <c r="L15" s="18" t="s">
        <v>69</v>
      </c>
      <c r="N15" s="18" t="s">
        <v>66</v>
      </c>
      <c r="O15" s="18"/>
      <c r="P15" s="47">
        <v>46116.719108796293</v>
      </c>
    </row>
    <row r="16" spans="2:17" s="41" customFormat="1" ht="15" customHeight="1">
      <c r="B16" s="18" t="s">
        <v>96</v>
      </c>
      <c r="D16" s="11">
        <v>300016</v>
      </c>
      <c r="F16" s="18" t="s">
        <v>68</v>
      </c>
      <c r="G16" s="18"/>
      <c r="H16" s="18" t="s">
        <v>193</v>
      </c>
      <c r="J16" s="18" t="s">
        <v>197</v>
      </c>
      <c r="L16" s="18" t="s">
        <v>69</v>
      </c>
      <c r="N16" s="18" t="s">
        <v>66</v>
      </c>
      <c r="O16" s="18"/>
      <c r="P16" s="47">
        <v>46121.511157407411</v>
      </c>
    </row>
    <row r="17" spans="2:17" s="41" customFormat="1" ht="15" customHeight="1">
      <c r="B17" s="18" t="s">
        <v>96</v>
      </c>
      <c r="D17" s="11">
        <v>300017</v>
      </c>
      <c r="F17" s="18" t="s">
        <v>68</v>
      </c>
      <c r="G17" s="18"/>
      <c r="H17" s="18" t="s">
        <v>194</v>
      </c>
      <c r="J17" s="18" t="s">
        <v>194</v>
      </c>
      <c r="L17" s="18" t="s">
        <v>65</v>
      </c>
      <c r="N17" s="18" t="s">
        <v>66</v>
      </c>
      <c r="O17" s="18"/>
      <c r="P17" s="47">
        <v>46121.518101851849</v>
      </c>
    </row>
    <row r="18" spans="2:17" s="41" customFormat="1" ht="14.25">
      <c r="B18" s="18" t="s">
        <v>96</v>
      </c>
      <c r="D18" s="11">
        <v>300018</v>
      </c>
      <c r="F18" s="18" t="s">
        <v>68</v>
      </c>
      <c r="G18" s="18"/>
      <c r="H18" s="18" t="s">
        <v>195</v>
      </c>
      <c r="J18" s="18" t="s">
        <v>195</v>
      </c>
      <c r="L18" s="18" t="s">
        <v>65</v>
      </c>
      <c r="N18" s="18" t="s">
        <v>66</v>
      </c>
      <c r="O18" s="18"/>
      <c r="P18" s="47">
        <v>46121.525046296294</v>
      </c>
    </row>
    <row r="19" spans="2:17" s="41" customFormat="1" ht="14.25">
      <c r="B19" s="18" t="s">
        <v>96</v>
      </c>
      <c r="D19" s="11">
        <v>300019</v>
      </c>
      <c r="F19" s="18" t="s">
        <v>68</v>
      </c>
      <c r="G19" s="18"/>
      <c r="H19" s="18" t="s">
        <v>196</v>
      </c>
      <c r="J19" s="18" t="s">
        <v>196</v>
      </c>
      <c r="L19" s="18" t="s">
        <v>65</v>
      </c>
      <c r="N19" s="18" t="s">
        <v>66</v>
      </c>
      <c r="O19" s="18"/>
      <c r="P19" s="47">
        <v>46121.531990740739</v>
      </c>
    </row>
    <row r="20" spans="2:17" ht="5.0999999999999996" customHeight="1">
      <c r="P20" s="8"/>
      <c r="Q20" s="8"/>
    </row>
    <row r="21" spans="2:17">
      <c r="B21" s="6" t="s">
        <v>70</v>
      </c>
      <c r="D21" s="20">
        <v>8</v>
      </c>
      <c r="P21" s="8"/>
      <c r="Q21" s="8"/>
    </row>
    <row r="22" spans="2:17" ht="5.0999999999999996" customHeight="1">
      <c r="P22" s="8"/>
      <c r="Q22" s="8"/>
    </row>
    <row r="23" spans="2:17">
      <c r="I23" s="21" t="s">
        <v>24</v>
      </c>
      <c r="P23" s="8"/>
      <c r="Q23" s="8"/>
    </row>
    <row r="24" spans="2:17" ht="9.9499999999999993" customHeight="1">
      <c r="P24" s="8"/>
      <c r="Q24" s="8"/>
    </row>
    <row r="25" spans="2:17" customFormat="1" ht="15.75">
      <c r="B25" s="9" t="s">
        <v>25</v>
      </c>
      <c r="C25" s="41"/>
      <c r="D25" s="41"/>
      <c r="E25" s="41"/>
      <c r="F25" s="41"/>
    </row>
    <row r="26" spans="2:17" customFormat="1" ht="15.75">
      <c r="B26" s="4" t="s">
        <v>178</v>
      </c>
      <c r="C26" s="41"/>
      <c r="D26" s="41"/>
      <c r="E26" s="41"/>
      <c r="F26" s="41"/>
    </row>
    <row r="27" spans="2:17" customFormat="1" ht="15.75">
      <c r="B27" s="4" t="s">
        <v>26</v>
      </c>
      <c r="C27" s="41"/>
      <c r="D27" s="41"/>
      <c r="E27" s="41"/>
      <c r="F27" s="41"/>
    </row>
    <row r="28" spans="2:17" customFormat="1" ht="15.75">
      <c r="B28" s="4" t="s">
        <v>27</v>
      </c>
      <c r="C28" s="41"/>
      <c r="D28" s="41"/>
      <c r="E28" s="41"/>
      <c r="F28" s="41"/>
    </row>
    <row r="29" spans="2:17" customFormat="1" ht="15.75">
      <c r="B29" s="41"/>
      <c r="C29" s="41"/>
      <c r="D29" s="41"/>
      <c r="E29" s="41"/>
      <c r="F29" s="41"/>
    </row>
    <row r="30" spans="2:17" customFormat="1" ht="15.75">
      <c r="B30" s="4" t="s">
        <v>113</v>
      </c>
      <c r="C30" s="41"/>
      <c r="D30" s="41"/>
      <c r="E30" s="41"/>
      <c r="F30" s="41"/>
    </row>
    <row r="31" spans="2:17" customFormat="1" ht="15.75">
      <c r="B31" s="36" t="s">
        <v>161</v>
      </c>
      <c r="C31" s="41"/>
      <c r="D31" s="41"/>
      <c r="E31" s="41"/>
      <c r="F31" s="41"/>
    </row>
    <row r="32" spans="2:17" customFormat="1" ht="15.75">
      <c r="B32" s="36" t="s">
        <v>155</v>
      </c>
      <c r="C32" s="41"/>
      <c r="D32" s="41"/>
      <c r="E32" s="41"/>
      <c r="F32" s="41"/>
    </row>
    <row r="33" spans="2:6" customFormat="1" ht="15.75">
      <c r="B33" s="36"/>
      <c r="C33" s="41"/>
      <c r="D33" s="41"/>
      <c r="E33" s="41"/>
      <c r="F33" s="41"/>
    </row>
    <row r="34" spans="2:6" customFormat="1" ht="15.75">
      <c r="B34" s="36" t="s">
        <v>151</v>
      </c>
      <c r="C34" s="41"/>
      <c r="D34" s="41"/>
      <c r="E34" s="41"/>
      <c r="F34" s="41"/>
    </row>
    <row r="35" spans="2:6" customFormat="1" ht="15.75">
      <c r="B35" s="48" t="s">
        <v>156</v>
      </c>
      <c r="C35" s="48" t="s">
        <v>145</v>
      </c>
      <c r="D35" s="41"/>
      <c r="E35" s="41"/>
      <c r="F35" s="41"/>
    </row>
    <row r="36" spans="2:6" customFormat="1" ht="15.75">
      <c r="B36" s="4" t="s">
        <v>141</v>
      </c>
      <c r="C36" s="48" t="s">
        <v>146</v>
      </c>
      <c r="D36" s="41"/>
      <c r="E36" s="41"/>
      <c r="F36" s="41"/>
    </row>
    <row r="37" spans="2:6" customFormat="1" ht="15.75">
      <c r="B37" s="4" t="s">
        <v>142</v>
      </c>
      <c r="C37" s="48" t="s">
        <v>147</v>
      </c>
      <c r="D37" s="41"/>
      <c r="E37" s="41"/>
      <c r="F37" s="41"/>
    </row>
    <row r="38" spans="2:6" customFormat="1" ht="15.75">
      <c r="B38" s="4" t="s">
        <v>143</v>
      </c>
      <c r="C38" s="48" t="s">
        <v>148</v>
      </c>
      <c r="D38" s="41"/>
      <c r="E38" s="41"/>
      <c r="F38" s="41"/>
    </row>
    <row r="39" spans="2:6" customFormat="1" ht="15.75">
      <c r="B39" s="4" t="s">
        <v>152</v>
      </c>
      <c r="C39" s="48" t="s">
        <v>149</v>
      </c>
      <c r="D39" s="41"/>
      <c r="E39" s="41"/>
      <c r="F39" s="41"/>
    </row>
    <row r="40" spans="2:6" customFormat="1" ht="15.75">
      <c r="B40" s="49" t="s">
        <v>144</v>
      </c>
      <c r="C40" s="41"/>
      <c r="D40" s="41"/>
      <c r="E40" s="41"/>
      <c r="F40" s="41"/>
    </row>
    <row r="41" spans="2:6" customFormat="1" ht="15.75">
      <c r="B41" s="4" t="s">
        <v>150</v>
      </c>
      <c r="C41" s="48" t="s">
        <v>153</v>
      </c>
      <c r="D41" s="41"/>
      <c r="E41" s="41"/>
      <c r="F41" s="41"/>
    </row>
    <row r="42" spans="2:6" customFormat="1" ht="15.75">
      <c r="B42" s="41"/>
      <c r="C42" s="41"/>
      <c r="D42" s="41"/>
      <c r="E42" s="41"/>
      <c r="F42" s="41"/>
    </row>
    <row r="43" spans="2:6">
      <c r="B43" s="41"/>
      <c r="C43" s="41"/>
      <c r="D43" s="41"/>
      <c r="E43" s="41"/>
      <c r="F43" s="41"/>
    </row>
    <row r="44" spans="2:6">
      <c r="B44" s="41"/>
      <c r="C44" s="41"/>
      <c r="D44" s="41"/>
      <c r="E44" s="41"/>
      <c r="F44" s="41"/>
    </row>
    <row r="45" spans="2:6">
      <c r="B45" s="41"/>
      <c r="C45" s="41"/>
      <c r="D45" s="41"/>
      <c r="E45" s="41"/>
      <c r="F45" s="41"/>
    </row>
    <row r="46" spans="2:6">
      <c r="B46" s="41"/>
      <c r="C46" s="41"/>
      <c r="D46" s="41"/>
      <c r="E46" s="41"/>
      <c r="F46" s="41"/>
    </row>
    <row r="47" spans="2:6">
      <c r="B47" s="41"/>
      <c r="C47" s="41"/>
      <c r="D47" s="41"/>
      <c r="E47" s="41"/>
      <c r="F47" s="41"/>
    </row>
    <row r="48" spans="2:6">
      <c r="B48" s="41"/>
      <c r="C48" s="41"/>
      <c r="D48" s="41"/>
      <c r="E48" s="41"/>
      <c r="F48" s="41"/>
    </row>
    <row r="49" spans="2:6">
      <c r="B49" s="41"/>
      <c r="C49" s="41"/>
      <c r="D49" s="41"/>
      <c r="E49" s="41"/>
      <c r="F49" s="41"/>
    </row>
  </sheetData>
  <phoneticPr fontId="34" type="noConversion"/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EBE3-D897-488D-8BF2-08889486C9BE}">
  <dimension ref="B1:AE40"/>
  <sheetViews>
    <sheetView showGridLines="0" zoomScale="115" zoomScaleNormal="115" workbookViewId="0">
      <pane ySplit="7" topLeftCell="A8" activePane="bottomLeft" state="frozen"/>
      <selection pane="bottomLeft" activeCell="N27" sqref="N27"/>
    </sheetView>
  </sheetViews>
  <sheetFormatPr defaultColWidth="8.7109375" defaultRowHeight="15"/>
  <cols>
    <col min="1" max="1" width="2" style="10" customWidth="1"/>
    <col min="2" max="2" width="0.140625" style="10" customWidth="1"/>
    <col min="3" max="3" width="0" style="10" hidden="1" customWidth="1"/>
    <col min="4" max="4" width="13.5703125" style="10" customWidth="1"/>
    <col min="5" max="5" width="7" style="10" customWidth="1"/>
    <col min="6" max="6" width="13" style="10" customWidth="1"/>
    <col min="7" max="7" width="10.5703125" style="10" customWidth="1"/>
    <col min="8" max="9" width="8.28515625" style="10" customWidth="1"/>
    <col min="10" max="10" width="11" style="10" customWidth="1"/>
    <col min="11" max="11" width="7.140625" style="10" customWidth="1"/>
    <col min="12" max="13" width="0.140625" style="10" customWidth="1"/>
    <col min="14" max="14" width="16" style="10" customWidth="1"/>
    <col min="15" max="15" width="0" style="10" hidden="1" customWidth="1"/>
    <col min="16" max="16" width="10.42578125" style="10" customWidth="1"/>
    <col min="17" max="17" width="11.7109375" style="10" customWidth="1"/>
    <col min="18" max="18" width="0" style="10" hidden="1" customWidth="1"/>
    <col min="19" max="19" width="2.28515625" style="10" customWidth="1"/>
    <col min="20" max="20" width="13.85546875" style="10" customWidth="1"/>
    <col min="21" max="21" width="10.7109375" style="10" customWidth="1"/>
    <col min="22" max="22" width="0.7109375" style="10" customWidth="1"/>
    <col min="23" max="23" width="15.140625" style="10" customWidth="1"/>
    <col min="24" max="24" width="33.85546875" style="10" customWidth="1"/>
    <col min="25" max="25" width="15.42578125" style="10" customWidth="1"/>
    <col min="26" max="26" width="2.28515625" style="10" customWidth="1"/>
    <col min="27" max="16379" width="8.7109375" style="10"/>
    <col min="16380" max="16380" width="8.7109375" style="10" bestFit="1"/>
    <col min="16381" max="16384" width="8.7109375" style="10"/>
  </cols>
  <sheetData>
    <row r="1" spans="3:26" ht="10.5" customHeight="1"/>
    <row r="2" spans="3:26" ht="21" customHeight="1">
      <c r="C2" s="62" t="s">
        <v>202</v>
      </c>
      <c r="D2" s="62"/>
      <c r="E2" s="62"/>
      <c r="F2" s="62"/>
      <c r="G2" s="62"/>
      <c r="H2" s="62"/>
      <c r="J2" s="78"/>
      <c r="K2" s="78"/>
      <c r="L2" s="78"/>
      <c r="M2" s="78"/>
      <c r="N2" s="78"/>
      <c r="O2" s="78"/>
      <c r="P2" s="78"/>
      <c r="Q2" s="78"/>
      <c r="V2" s="73" t="s">
        <v>30</v>
      </c>
      <c r="W2" s="78"/>
      <c r="X2" s="78"/>
    </row>
    <row r="3" spans="3:26" ht="21" customHeight="1">
      <c r="C3" s="62"/>
      <c r="D3" s="62"/>
      <c r="E3" s="62"/>
      <c r="F3" s="62"/>
      <c r="G3" s="62"/>
      <c r="H3" s="62"/>
      <c r="J3" s="83" t="s">
        <v>111</v>
      </c>
      <c r="K3" s="83"/>
      <c r="L3" s="83"/>
      <c r="M3" s="83"/>
      <c r="N3" s="83"/>
      <c r="O3" s="83"/>
      <c r="P3" s="83"/>
      <c r="Q3" s="83"/>
      <c r="R3" s="83"/>
      <c r="V3" s="78"/>
      <c r="W3" s="78"/>
      <c r="X3" s="78"/>
    </row>
    <row r="4" spans="3:26" ht="21" customHeight="1">
      <c r="C4" s="62"/>
      <c r="D4" s="62"/>
      <c r="E4" s="62"/>
      <c r="F4" s="62"/>
      <c r="G4" s="62"/>
      <c r="H4" s="62"/>
      <c r="J4" s="83"/>
      <c r="K4" s="83"/>
      <c r="L4" s="83"/>
      <c r="M4" s="83"/>
      <c r="N4" s="83"/>
      <c r="O4" s="83"/>
      <c r="P4" s="83"/>
      <c r="Q4" s="83"/>
      <c r="R4" s="83"/>
      <c r="V4" s="78"/>
      <c r="W4" s="78"/>
      <c r="X4" s="78"/>
    </row>
    <row r="5" spans="3:26" ht="21" customHeight="1">
      <c r="C5" s="62"/>
      <c r="D5" s="62"/>
      <c r="E5" s="62"/>
      <c r="F5" s="62"/>
      <c r="G5" s="62"/>
      <c r="H5" s="62"/>
      <c r="J5" s="83"/>
      <c r="K5" s="83"/>
      <c r="L5" s="83"/>
      <c r="M5" s="83"/>
      <c r="N5" s="83"/>
      <c r="O5" s="83"/>
      <c r="P5" s="83"/>
      <c r="Q5" s="83"/>
      <c r="R5" s="83"/>
      <c r="Z5" s="37"/>
    </row>
    <row r="6" spans="3:26" ht="36" customHeight="1">
      <c r="C6" s="62"/>
      <c r="D6" s="62"/>
      <c r="E6" s="62"/>
      <c r="F6" s="62"/>
      <c r="G6" s="62"/>
      <c r="H6" s="62"/>
      <c r="Z6" s="37"/>
    </row>
    <row r="7" spans="3:26" ht="2.65" customHeight="1"/>
    <row r="8" spans="3:26" ht="20.25" customHeight="1"/>
    <row r="9" spans="3:26" ht="29.25" customHeight="1">
      <c r="C9" s="82" t="s">
        <v>71</v>
      </c>
      <c r="D9" s="82"/>
      <c r="E9" s="82"/>
      <c r="F9" s="82" t="s">
        <v>31</v>
      </c>
      <c r="G9" s="82"/>
      <c r="H9" s="82" t="s">
        <v>32</v>
      </c>
      <c r="I9" s="82"/>
      <c r="J9" s="82" t="s">
        <v>33</v>
      </c>
      <c r="K9" s="78"/>
      <c r="L9" s="82" t="s">
        <v>34</v>
      </c>
      <c r="M9" s="78"/>
      <c r="N9" s="78"/>
      <c r="P9" s="14" t="s">
        <v>35</v>
      </c>
      <c r="Q9" s="82" t="s">
        <v>72</v>
      </c>
      <c r="R9" s="78"/>
      <c r="S9" s="78"/>
      <c r="T9" s="14" t="s">
        <v>73</v>
      </c>
      <c r="U9" s="82" t="s">
        <v>37</v>
      </c>
      <c r="V9" s="78"/>
      <c r="W9" s="14" t="s">
        <v>38</v>
      </c>
      <c r="X9" s="14" t="s">
        <v>39</v>
      </c>
    </row>
    <row r="10" spans="3:26">
      <c r="C10" s="79" t="s">
        <v>74</v>
      </c>
      <c r="D10" s="79"/>
      <c r="E10" s="79"/>
      <c r="F10" s="79" t="s">
        <v>75</v>
      </c>
      <c r="G10" s="79"/>
      <c r="H10" s="80" t="s">
        <v>76</v>
      </c>
      <c r="I10" s="80"/>
      <c r="J10" s="80" t="s">
        <v>77</v>
      </c>
      <c r="K10" s="78"/>
      <c r="L10" s="81">
        <f>J10-H10+1</f>
        <v>17</v>
      </c>
      <c r="M10" s="78"/>
      <c r="N10" s="78"/>
      <c r="P10" s="13" t="s">
        <v>68</v>
      </c>
      <c r="Q10" s="80" t="s">
        <v>78</v>
      </c>
      <c r="R10" s="78"/>
      <c r="S10" s="78"/>
      <c r="T10" s="13" t="s">
        <v>79</v>
      </c>
      <c r="U10" s="80" t="s">
        <v>45</v>
      </c>
      <c r="V10" s="78"/>
      <c r="W10" s="13" t="s">
        <v>53</v>
      </c>
      <c r="X10" s="13"/>
    </row>
    <row r="11" spans="3:26" ht="24" customHeight="1">
      <c r="C11" s="79" t="s">
        <v>74</v>
      </c>
      <c r="D11" s="79"/>
      <c r="E11" s="79"/>
      <c r="F11" s="79" t="s">
        <v>80</v>
      </c>
      <c r="G11" s="79"/>
      <c r="H11" s="80" t="s">
        <v>76</v>
      </c>
      <c r="I11" s="80"/>
      <c r="J11" s="80" t="s">
        <v>77</v>
      </c>
      <c r="K11" s="78"/>
      <c r="L11" s="81">
        <f t="shared" ref="L11:L16" si="0">J11-H11+1</f>
        <v>17</v>
      </c>
      <c r="M11" s="78"/>
      <c r="N11" s="78"/>
      <c r="P11" s="13" t="s">
        <v>68</v>
      </c>
      <c r="Q11" s="80" t="s">
        <v>78</v>
      </c>
      <c r="R11" s="78"/>
      <c r="S11" s="78"/>
      <c r="T11" s="13" t="s">
        <v>79</v>
      </c>
      <c r="U11" s="80" t="s">
        <v>45</v>
      </c>
      <c r="V11" s="78"/>
      <c r="W11" s="13" t="s">
        <v>53</v>
      </c>
      <c r="X11" s="13"/>
    </row>
    <row r="12" spans="3:26">
      <c r="C12" s="79" t="s">
        <v>74</v>
      </c>
      <c r="D12" s="79"/>
      <c r="E12" s="79"/>
      <c r="F12" s="79" t="s">
        <v>81</v>
      </c>
      <c r="G12" s="79"/>
      <c r="H12" s="80" t="s">
        <v>82</v>
      </c>
      <c r="I12" s="80"/>
      <c r="J12" s="80" t="s">
        <v>83</v>
      </c>
      <c r="K12" s="78"/>
      <c r="L12" s="81">
        <f t="shared" si="0"/>
        <v>20</v>
      </c>
      <c r="M12" s="78"/>
      <c r="N12" s="78"/>
      <c r="P12" s="13" t="s">
        <v>68</v>
      </c>
      <c r="Q12" s="80" t="s">
        <v>78</v>
      </c>
      <c r="R12" s="78"/>
      <c r="S12" s="78"/>
      <c r="T12" s="13" t="s">
        <v>79</v>
      </c>
      <c r="U12" s="80" t="s">
        <v>45</v>
      </c>
      <c r="V12" s="78"/>
      <c r="W12" s="13" t="s">
        <v>51</v>
      </c>
      <c r="X12" s="12" t="s">
        <v>204</v>
      </c>
    </row>
    <row r="13" spans="3:26">
      <c r="C13" s="79" t="s">
        <v>74</v>
      </c>
      <c r="D13" s="79"/>
      <c r="E13" s="79"/>
      <c r="F13" s="79" t="s">
        <v>84</v>
      </c>
      <c r="G13" s="79"/>
      <c r="H13" s="80" t="s">
        <v>85</v>
      </c>
      <c r="I13" s="80"/>
      <c r="J13" s="80" t="s">
        <v>86</v>
      </c>
      <c r="K13" s="78"/>
      <c r="L13" s="81">
        <f t="shared" si="0"/>
        <v>20</v>
      </c>
      <c r="M13" s="78"/>
      <c r="N13" s="78"/>
      <c r="P13" s="13" t="s">
        <v>68</v>
      </c>
      <c r="Q13" s="80" t="s">
        <v>87</v>
      </c>
      <c r="R13" s="78"/>
      <c r="S13" s="78"/>
      <c r="T13" s="13" t="s">
        <v>79</v>
      </c>
      <c r="U13" s="80" t="s">
        <v>163</v>
      </c>
      <c r="V13" s="78"/>
      <c r="W13" s="13" t="s">
        <v>51</v>
      </c>
      <c r="X13" s="12" t="s">
        <v>205</v>
      </c>
    </row>
    <row r="14" spans="3:26" ht="24" customHeight="1">
      <c r="C14" s="79" t="s">
        <v>74</v>
      </c>
      <c r="D14" s="79"/>
      <c r="E14" s="79"/>
      <c r="F14" s="79" t="s">
        <v>88</v>
      </c>
      <c r="G14" s="79"/>
      <c r="H14" s="80" t="s">
        <v>89</v>
      </c>
      <c r="I14" s="80"/>
      <c r="J14" s="80" t="s">
        <v>89</v>
      </c>
      <c r="K14" s="78"/>
      <c r="L14" s="81">
        <f t="shared" si="0"/>
        <v>1</v>
      </c>
      <c r="M14" s="78"/>
      <c r="N14" s="78"/>
      <c r="P14" s="13" t="s">
        <v>68</v>
      </c>
      <c r="Q14" s="80" t="s">
        <v>87</v>
      </c>
      <c r="R14" s="78"/>
      <c r="S14" s="78"/>
      <c r="T14" s="13" t="s">
        <v>79</v>
      </c>
      <c r="U14" s="80" t="s">
        <v>163</v>
      </c>
      <c r="V14" s="78"/>
      <c r="W14" s="13" t="s">
        <v>52</v>
      </c>
      <c r="X14" s="13"/>
    </row>
    <row r="15" spans="3:26" ht="24" customHeight="1">
      <c r="C15" s="79" t="s">
        <v>74</v>
      </c>
      <c r="D15" s="79"/>
      <c r="E15" s="79"/>
      <c r="F15" s="79" t="s">
        <v>90</v>
      </c>
      <c r="G15" s="79"/>
      <c r="H15" s="80" t="s">
        <v>91</v>
      </c>
      <c r="I15" s="80"/>
      <c r="J15" s="80" t="s">
        <v>92</v>
      </c>
      <c r="K15" s="78"/>
      <c r="L15" s="81">
        <f t="shared" si="0"/>
        <v>3</v>
      </c>
      <c r="M15" s="78"/>
      <c r="N15" s="78"/>
      <c r="P15" s="13" t="s">
        <v>68</v>
      </c>
      <c r="Q15" s="80" t="s">
        <v>87</v>
      </c>
      <c r="R15" s="78"/>
      <c r="S15" s="78"/>
      <c r="T15" s="13" t="s">
        <v>79</v>
      </c>
      <c r="U15" s="80" t="s">
        <v>45</v>
      </c>
      <c r="V15" s="78"/>
      <c r="W15" s="13" t="s">
        <v>50</v>
      </c>
      <c r="X15" s="13"/>
    </row>
    <row r="16" spans="3:26">
      <c r="C16" s="79" t="s">
        <v>74</v>
      </c>
      <c r="D16" s="79"/>
      <c r="E16" s="79"/>
      <c r="F16" s="79" t="s">
        <v>93</v>
      </c>
      <c r="G16" s="79"/>
      <c r="H16" s="80" t="s">
        <v>94</v>
      </c>
      <c r="I16" s="80"/>
      <c r="J16" s="80" t="s">
        <v>94</v>
      </c>
      <c r="K16" s="78"/>
      <c r="L16" s="81">
        <f t="shared" si="0"/>
        <v>1</v>
      </c>
      <c r="M16" s="78"/>
      <c r="N16" s="78"/>
      <c r="P16" s="13" t="s">
        <v>68</v>
      </c>
      <c r="Q16" s="80" t="s">
        <v>87</v>
      </c>
      <c r="R16" s="78"/>
      <c r="S16" s="78"/>
      <c r="T16" s="13" t="s">
        <v>79</v>
      </c>
      <c r="U16" s="80" t="s">
        <v>45</v>
      </c>
      <c r="V16" s="78"/>
      <c r="W16" s="13" t="s">
        <v>51</v>
      </c>
      <c r="X16" s="12" t="s">
        <v>203</v>
      </c>
    </row>
    <row r="17" spans="2:31" ht="10.9" customHeight="1"/>
    <row r="18" spans="2:31" ht="18" customHeight="1">
      <c r="B18" s="74" t="s">
        <v>95</v>
      </c>
      <c r="C18" s="74"/>
      <c r="D18" s="74"/>
    </row>
    <row r="19" spans="2:31" ht="18" customHeight="1">
      <c r="B19" s="23"/>
      <c r="D19" s="85" t="s">
        <v>115</v>
      </c>
      <c r="E19" s="85"/>
      <c r="F19" s="84" t="s">
        <v>116</v>
      </c>
      <c r="G19" s="84"/>
      <c r="H19" s="84" t="s">
        <v>112</v>
      </c>
      <c r="I19" s="84"/>
    </row>
    <row r="20" spans="2:31" ht="18" customHeight="1">
      <c r="B20" s="23"/>
      <c r="D20" s="85"/>
      <c r="E20" s="85"/>
      <c r="F20" s="39" t="s">
        <v>46</v>
      </c>
      <c r="G20" s="39" t="s">
        <v>114</v>
      </c>
      <c r="H20" s="39" t="s">
        <v>46</v>
      </c>
      <c r="I20" s="39" t="s">
        <v>114</v>
      </c>
    </row>
    <row r="21" spans="2:31" ht="18" customHeight="1">
      <c r="B21" s="23"/>
      <c r="D21" s="86" t="s">
        <v>103</v>
      </c>
      <c r="E21" s="86"/>
      <c r="F21" s="39">
        <v>1</v>
      </c>
      <c r="G21" s="56" t="s">
        <v>177</v>
      </c>
      <c r="H21" s="39">
        <v>10</v>
      </c>
      <c r="I21" s="56" t="s">
        <v>177</v>
      </c>
    </row>
    <row r="22" spans="2:31" ht="15.75">
      <c r="B22" s="38"/>
      <c r="D22" s="86" t="s">
        <v>104</v>
      </c>
      <c r="E22" s="86"/>
      <c r="F22" s="56" t="s">
        <v>177</v>
      </c>
      <c r="G22" s="40">
        <v>1</v>
      </c>
      <c r="H22" s="56" t="s">
        <v>177</v>
      </c>
      <c r="I22" s="40">
        <v>2</v>
      </c>
      <c r="J22" s="37"/>
      <c r="K22" s="37"/>
      <c r="L22" s="37"/>
      <c r="M22" s="37"/>
      <c r="N22" s="37"/>
    </row>
    <row r="23" spans="2:31" ht="14.45" customHeight="1">
      <c r="D23" s="86" t="s">
        <v>105</v>
      </c>
      <c r="E23" s="86"/>
      <c r="F23" s="39">
        <v>1</v>
      </c>
      <c r="G23" s="56" t="s">
        <v>177</v>
      </c>
      <c r="H23" s="39">
        <v>10</v>
      </c>
      <c r="I23" s="56" t="s">
        <v>177</v>
      </c>
      <c r="T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pans="2:31" ht="14.45" customHeight="1">
      <c r="B24" s="18"/>
      <c r="D24" s="86" t="s">
        <v>106</v>
      </c>
      <c r="E24" s="86"/>
      <c r="F24" s="39">
        <v>1</v>
      </c>
      <c r="G24" s="56" t="s">
        <v>177</v>
      </c>
      <c r="H24" s="40">
        <v>10</v>
      </c>
      <c r="I24" s="56" t="s">
        <v>177</v>
      </c>
      <c r="J24" s="11"/>
      <c r="K24" s="11"/>
      <c r="L24" s="11"/>
    </row>
    <row r="25" spans="2:31" ht="5.0999999999999996" customHeight="1">
      <c r="D25" s="87"/>
      <c r="E25" s="87"/>
    </row>
    <row r="26" spans="2:31" ht="18" customHeight="1">
      <c r="K26" s="74" t="s">
        <v>24</v>
      </c>
      <c r="L26" s="78"/>
      <c r="M26" s="78"/>
      <c r="N26" s="78"/>
    </row>
    <row r="29" spans="2:31">
      <c r="D29" s="9" t="s">
        <v>25</v>
      </c>
    </row>
    <row r="30" spans="2:31">
      <c r="D30" s="4" t="s">
        <v>178</v>
      </c>
    </row>
    <row r="31" spans="2:31">
      <c r="D31" s="4" t="s">
        <v>26</v>
      </c>
    </row>
    <row r="32" spans="2:31">
      <c r="D32" s="4" t="s">
        <v>27</v>
      </c>
    </row>
    <row r="33" spans="2:6">
      <c r="D33" s="4" t="s">
        <v>176</v>
      </c>
    </row>
    <row r="34" spans="2:6" ht="15.75">
      <c r="D34"/>
    </row>
    <row r="35" spans="2:6">
      <c r="D35" s="4" t="s">
        <v>29</v>
      </c>
    </row>
    <row r="36" spans="2:6">
      <c r="D36" s="4" t="s">
        <v>157</v>
      </c>
    </row>
    <row r="37" spans="2:6" customFormat="1" ht="15.75">
      <c r="B37" s="10"/>
      <c r="C37" s="41"/>
      <c r="D37" s="36" t="s">
        <v>172</v>
      </c>
      <c r="E37" s="41"/>
      <c r="F37" s="41"/>
    </row>
    <row r="38" spans="2:6">
      <c r="D38" s="4" t="s">
        <v>110</v>
      </c>
    </row>
    <row r="39" spans="2:6">
      <c r="D39" s="4" t="s">
        <v>117</v>
      </c>
    </row>
    <row r="40" spans="2:6">
      <c r="D40" s="4"/>
    </row>
  </sheetData>
  <mergeCells count="70">
    <mergeCell ref="D21:E21"/>
    <mergeCell ref="D22:E22"/>
    <mergeCell ref="D23:E23"/>
    <mergeCell ref="D24:E24"/>
    <mergeCell ref="D25:E25"/>
    <mergeCell ref="F19:G19"/>
    <mergeCell ref="H19:I19"/>
    <mergeCell ref="D19:E20"/>
    <mergeCell ref="C2:H6"/>
    <mergeCell ref="J2:Q2"/>
    <mergeCell ref="Q10:S10"/>
    <mergeCell ref="C13:E13"/>
    <mergeCell ref="C12:E12"/>
    <mergeCell ref="L15:N15"/>
    <mergeCell ref="F14:G14"/>
    <mergeCell ref="H14:I14"/>
    <mergeCell ref="Q15:S15"/>
    <mergeCell ref="J14:K14"/>
    <mergeCell ref="L14:N14"/>
    <mergeCell ref="Q14:S14"/>
    <mergeCell ref="V2:X4"/>
    <mergeCell ref="C9:E9"/>
    <mergeCell ref="F9:G9"/>
    <mergeCell ref="H9:I9"/>
    <mergeCell ref="J9:K9"/>
    <mergeCell ref="L9:N9"/>
    <mergeCell ref="Q9:S9"/>
    <mergeCell ref="U9:V9"/>
    <mergeCell ref="J3:R5"/>
    <mergeCell ref="U10:V10"/>
    <mergeCell ref="C11:E11"/>
    <mergeCell ref="F11:G11"/>
    <mergeCell ref="H11:I11"/>
    <mergeCell ref="J11:K11"/>
    <mergeCell ref="L11:N11"/>
    <mergeCell ref="Q11:S11"/>
    <mergeCell ref="U11:V11"/>
    <mergeCell ref="C10:E10"/>
    <mergeCell ref="F10:G10"/>
    <mergeCell ref="H10:I10"/>
    <mergeCell ref="J10:K10"/>
    <mergeCell ref="L10:N10"/>
    <mergeCell ref="U12:V12"/>
    <mergeCell ref="Q13:S13"/>
    <mergeCell ref="U13:V13"/>
    <mergeCell ref="F13:G13"/>
    <mergeCell ref="H13:I13"/>
    <mergeCell ref="J13:K13"/>
    <mergeCell ref="L13:N13"/>
    <mergeCell ref="F12:G12"/>
    <mergeCell ref="H12:I12"/>
    <mergeCell ref="J12:K12"/>
    <mergeCell ref="L12:N12"/>
    <mergeCell ref="Q12:S12"/>
    <mergeCell ref="K26:N26"/>
    <mergeCell ref="C14:E14"/>
    <mergeCell ref="C15:E15"/>
    <mergeCell ref="U16:V16"/>
    <mergeCell ref="B18:D18"/>
    <mergeCell ref="F16:G16"/>
    <mergeCell ref="H16:I16"/>
    <mergeCell ref="J16:K16"/>
    <mergeCell ref="L16:N16"/>
    <mergeCell ref="Q16:S16"/>
    <mergeCell ref="C16:E16"/>
    <mergeCell ref="U14:V14"/>
    <mergeCell ref="F15:G15"/>
    <mergeCell ref="H15:I15"/>
    <mergeCell ref="J15:K15"/>
    <mergeCell ref="U15:V15"/>
  </mergeCells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D6A1FDF5737446B96097EEFAAE06BA" ma:contentTypeVersion="59" ma:contentTypeDescription="Create a new document." ma:contentTypeScope="" ma:versionID="149c009b2b6495e84f598c2a08e5eafd">
  <xsd:schema xmlns:xsd="http://www.w3.org/2001/XMLSchema" xmlns:xs="http://www.w3.org/2001/XMLSchema" xmlns:p="http://schemas.microsoft.com/office/2006/metadata/properties" xmlns:ns2="4158bea1-8a7d-48ef-aeba-757463fb2492" xmlns:ns3="1a259108-e82c-42b4-ace5-ab389b5e45da" targetNamespace="http://schemas.microsoft.com/office/2006/metadata/properties" ma:root="true" ma:fieldsID="39f25bcf3551f95dc90e29a400ce12ed" ns2:_="" ns3:_="">
    <xsd:import namespace="4158bea1-8a7d-48ef-aeba-757463fb2492"/>
    <xsd:import namespace="1a259108-e82c-42b4-ace5-ab389b5e4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8bea1-8a7d-48ef-aeba-757463fb24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7adc835-998e-4a25-a9b3-678b8f6e20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4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9108-e82c-42b4-ace5-ab389b5e4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46656f2-cf92-443c-a9ea-3a8d39b19137}" ma:internalName="TaxCatchAll" ma:showField="CatchAllData" ma:web="1a259108-e82c-42b4-ace5-ab389b5e4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259108-e82c-42b4-ace5-ab389b5e45da" xsi:nil="true"/>
    <lcf76f155ced4ddcb4097134ff3c332f xmlns="4158bea1-8a7d-48ef-aeba-757463fb2492">
      <Terms xmlns="http://schemas.microsoft.com/office/infopath/2007/PartnerControls"/>
    </lcf76f155ced4ddcb4097134ff3c332f>
    <ArchiverLinkFileType xmlns="4158bea1-8a7d-48ef-aeba-757463fb24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8A3C53-87FB-4480-B61E-2DE982EC2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8bea1-8a7d-48ef-aeba-757463fb2492"/>
    <ds:schemaRef ds:uri="1a259108-e82c-42b4-ace5-ab389b5e4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24A655-770B-4E72-B513-4DF769A553BC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1a259108-e82c-42b4-ace5-ab389b5e45da"/>
    <ds:schemaRef ds:uri="4158bea1-8a7d-48ef-aeba-757463fb249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558611-4F56-4B4F-8D6B-F21F8616E8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Report Summary</vt:lpstr>
      <vt:lpstr>SCS-100</vt:lpstr>
      <vt:lpstr>SCS-101</vt:lpstr>
      <vt:lpstr>SCS-102</vt:lpstr>
      <vt:lpstr>SCS-103</vt:lpstr>
      <vt:lpstr>'SCS-100'!Print_Titles</vt:lpstr>
      <vt:lpstr>'SCS-101'!Print_Titles</vt:lpstr>
      <vt:lpstr>'SCS-102'!Print_Titles</vt:lpstr>
      <vt:lpstr>'SCS-103'!Print_Titles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Hung Kwok Kwan, David - PMD/ADM/APP</dc:creator>
  <cp:keywords/>
  <dc:description/>
  <cp:lastModifiedBy>Sean Tsang</cp:lastModifiedBy>
  <cp:revision/>
  <cp:lastPrinted>2026-03-25T08:20:16Z</cp:lastPrinted>
  <dcterms:created xsi:type="dcterms:W3CDTF">2026-02-04T02:52:22Z</dcterms:created>
  <dcterms:modified xsi:type="dcterms:W3CDTF">2026-03-25T08:27:23Z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0x01010044D6A1FDF5737446B96097EEFAAE06BA</vt:lpwstr>
  </property>
  <property fmtid="{D5CDD505-2E9C-101B-9397-08002B2CF9AE}" pid="3" name="MediaServiceImageTags">
    <vt:lpwstr/>
  </property>
</Properties>
</file>